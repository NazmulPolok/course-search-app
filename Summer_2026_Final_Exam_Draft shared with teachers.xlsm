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outine" sheetId="1" r:id="rId4"/>
    <sheet state="visible" name="Invigilation" sheetId="2" r:id="rId5"/>
  </sheets>
  <definedNames/>
  <calcPr/>
  <extLst>
    <ext uri="GoogleSheetsCustomDataVersion2">
      <go:sheetsCustomData xmlns:go="http://customooxmlschemas.google.com/" r:id="rId6" roundtripDataChecksum="06vNihGGkfslXXX3nzn8D4zvchd+oxD6jxSIgpa/8+o="/>
    </ext>
  </extLst>
</workbook>
</file>

<file path=xl/sharedStrings.xml><?xml version="1.0" encoding="utf-8"?>
<sst xmlns="http://schemas.openxmlformats.org/spreadsheetml/2006/main" count="2343" uniqueCount="771">
  <si>
    <t>NHR</t>
  </si>
  <si>
    <t>Theory 
Load</t>
  </si>
  <si>
    <t>Other
Duty</t>
  </si>
  <si>
    <t>Target 
Invigilation</t>
  </si>
  <si>
    <t>Check</t>
  </si>
  <si>
    <t>CSE 
Fulltime</t>
  </si>
  <si>
    <t>Date</t>
  </si>
  <si>
    <t>Starting Time</t>
  </si>
  <si>
    <t>Special Instruction</t>
  </si>
  <si>
    <t>Ending Time</t>
  </si>
  <si>
    <t>Course Code</t>
  </si>
  <si>
    <t>Course Title</t>
  </si>
  <si>
    <t>Student Count</t>
  </si>
  <si>
    <t>Faculty</t>
  </si>
  <si>
    <t>Saturday</t>
  </si>
  <si>
    <t>Slot - E</t>
  </si>
  <si>
    <t>03.10.2026</t>
  </si>
  <si>
    <t>CSE265.11</t>
  </si>
  <si>
    <t>Algorithm</t>
  </si>
  <si>
    <t>[SMA] Sakib Mahmud</t>
  </si>
  <si>
    <t>CSE265.5</t>
  </si>
  <si>
    <t>[RFD] Rifat Ahommed</t>
  </si>
  <si>
    <t>CSE351.4</t>
  </si>
  <si>
    <t>Advanced Java</t>
  </si>
  <si>
    <t>[MOHO] Mosarrof Hossain</t>
  </si>
  <si>
    <t>CSE355.1</t>
  </si>
  <si>
    <t>Image Processing</t>
  </si>
  <si>
    <t>[DAHO] Dr. Amran Hossain</t>
  </si>
  <si>
    <t>CSE363.2</t>
  </si>
  <si>
    <t>Microprocessor Design &amp; Assembly Language Programming</t>
  </si>
  <si>
    <t>[DSAK] Prof. Dr. Shamim Akhter</t>
  </si>
  <si>
    <t>CSE443.1</t>
  </si>
  <si>
    <t>Computer Graphics &amp; Animation</t>
  </si>
  <si>
    <t>[HUMA] Humira Bentay Mahmud</t>
  </si>
  <si>
    <t>CSE473.2</t>
  </si>
  <si>
    <t>Software Development and Project Management</t>
  </si>
  <si>
    <t>[DRAS] Dr. Rakib Ahmed Saleh</t>
  </si>
  <si>
    <t>MAT141.1</t>
  </si>
  <si>
    <t>Differential &amp; Integral Calculus</t>
  </si>
  <si>
    <t>[DMAA] Dr. Md. Ayub Ali</t>
  </si>
  <si>
    <t>Slot - F</t>
  </si>
  <si>
    <t>CSE341.14</t>
  </si>
  <si>
    <t>Computer Networking</t>
  </si>
  <si>
    <t>[SW] Mohammad Shamim Waheed</t>
  </si>
  <si>
    <t>CSE341.5</t>
  </si>
  <si>
    <t>[AKMA] A. K. M. Ahsanul Haque</t>
  </si>
  <si>
    <t>CSE343.5</t>
  </si>
  <si>
    <t>Computer Architecture</t>
  </si>
  <si>
    <t>[LHD] Al Hasib Mahamud</t>
  </si>
  <si>
    <t>CSE353.1</t>
  </si>
  <si>
    <t>Introduction to Data Mining</t>
  </si>
  <si>
    <t>[DRAT] Dr. Ashis Talukder</t>
  </si>
  <si>
    <t>CSE359.4</t>
  </si>
  <si>
    <t>Graph Theory</t>
  </si>
  <si>
    <t>[BBA] Bulbul Ahmed</t>
  </si>
  <si>
    <t>CSE365.10</t>
  </si>
  <si>
    <t>Artificial Intelligence</t>
  </si>
  <si>
    <t>[MMJR] Md. Mijanur Rahman</t>
  </si>
  <si>
    <t>CSE375.3</t>
  </si>
  <si>
    <t>Advanced Algorithm</t>
  </si>
  <si>
    <t>[ASHI] Mohammad Ashraful Islam</t>
  </si>
  <si>
    <t>CSE383.6</t>
  </si>
  <si>
    <t>Database Design</t>
  </si>
  <si>
    <t>[RAJA] Md. Rafsan Jani</t>
  </si>
  <si>
    <t>CSE4041.2</t>
  </si>
  <si>
    <t>CSE441.1</t>
  </si>
  <si>
    <t>Theory of Computing</t>
  </si>
  <si>
    <t>[AMR] Md. Aminur Rahman</t>
  </si>
  <si>
    <t>CSE475.2</t>
  </si>
  <si>
    <t>Management Information System</t>
  </si>
  <si>
    <t>[ABAH] Abid Ahmad</t>
  </si>
  <si>
    <t>ENG101.1</t>
  </si>
  <si>
    <t>Basic English Skills</t>
  </si>
  <si>
    <t>[RAS] Rubina Arfin Somiya</t>
  </si>
  <si>
    <t>MAT241.6</t>
  </si>
  <si>
    <t>Complex Variables and Transforms (Laplace &amp; Fourier)</t>
  </si>
  <si>
    <t>[MEI] Dr. Md. Elias</t>
  </si>
  <si>
    <t>MGT281.6</t>
  </si>
  <si>
    <t>Introduction to Business &amp; Management</t>
  </si>
  <si>
    <t>[ASNA] Abu Sayeed Nooruddin Ahmed</t>
  </si>
  <si>
    <t>Slot - D</t>
  </si>
  <si>
    <t>CSE241.1</t>
  </si>
  <si>
    <t>Data Structures</t>
  </si>
  <si>
    <t>[JABA] Jayed Bin Azad</t>
  </si>
  <si>
    <t>CSE365.6</t>
  </si>
  <si>
    <t>[KMU] Khandaker Mohammad Mohi Uddin</t>
  </si>
  <si>
    <t>CSE471.1</t>
  </si>
  <si>
    <t>Web and Internet Programming</t>
  </si>
  <si>
    <t>Sunday</t>
  </si>
  <si>
    <t>Slot - 13</t>
  </si>
  <si>
    <t>04.10.2026</t>
  </si>
  <si>
    <t>ACT141.1</t>
  </si>
  <si>
    <t>Introduction to Accounting</t>
  </si>
  <si>
    <t>[MAC] Mohammad Ahsan Chowdhury</t>
  </si>
  <si>
    <t>ACT141.2</t>
  </si>
  <si>
    <t>CSE359.5</t>
  </si>
  <si>
    <t>[NALE] Nishat Anjum Lea</t>
  </si>
  <si>
    <t>CSE359.6</t>
  </si>
  <si>
    <t>CSE359.7</t>
  </si>
  <si>
    <t>ECO461.4</t>
  </si>
  <si>
    <t>Introduction to Economics</t>
  </si>
  <si>
    <t>[MLH] Dr. Md. Latiful Haque</t>
  </si>
  <si>
    <t>ECO461.7</t>
  </si>
  <si>
    <t>[MZN] Miraz Un Nabi</t>
  </si>
  <si>
    <t>ECO461.8</t>
  </si>
  <si>
    <t>EEE181.1</t>
  </si>
  <si>
    <t>Electrical Circuits Design I</t>
  </si>
  <si>
    <t>[ADMR] Adib Md. Ridwan</t>
  </si>
  <si>
    <t>GED1123.17</t>
  </si>
  <si>
    <t>Bangladesh Studies</t>
  </si>
  <si>
    <t>[MINR] Minhazur Rahman Rezvi</t>
  </si>
  <si>
    <t>GED1123.18</t>
  </si>
  <si>
    <t>PHY161.1</t>
  </si>
  <si>
    <t>Physics  I</t>
  </si>
  <si>
    <t>[AFMM] A. F. M. Masum Rabbani Ph. D</t>
  </si>
  <si>
    <t>Slot - 14</t>
  </si>
  <si>
    <t>CSE241.13</t>
  </si>
  <si>
    <t>CSE241.14</t>
  </si>
  <si>
    <t>CSE241.3</t>
  </si>
  <si>
    <t>[MAQ] Mohammad Ariful Huq</t>
  </si>
  <si>
    <t>CSE241.4</t>
  </si>
  <si>
    <t>GED1123.19</t>
  </si>
  <si>
    <t>[MKHO] Md. Khaled Hosen</t>
  </si>
  <si>
    <t>GED1123.20</t>
  </si>
  <si>
    <t>GED1123.21</t>
  </si>
  <si>
    <t>MAT261.6</t>
  </si>
  <si>
    <t>Linear Algebra and Matrices</t>
  </si>
  <si>
    <t>[SBB] Md. Shohel Babu</t>
  </si>
  <si>
    <t>MAT261.7</t>
  </si>
  <si>
    <t>SOC341.2</t>
  </si>
  <si>
    <t>Engineering Ethics</t>
  </si>
  <si>
    <t>[DAKM] Prof. Dr. Abdul Kadar Muhammad Masum</t>
  </si>
  <si>
    <t>SOC341.3</t>
  </si>
  <si>
    <t>SOC341.4</t>
  </si>
  <si>
    <t>Slot - 15</t>
  </si>
  <si>
    <t>CSE1021.1</t>
  </si>
  <si>
    <t>Discrete Mathematics</t>
  </si>
  <si>
    <t>[MAHB] Mahbub Hasan</t>
  </si>
  <si>
    <t>CSE181.3</t>
  </si>
  <si>
    <t>CSE181.4</t>
  </si>
  <si>
    <t>CSE181.5</t>
  </si>
  <si>
    <t>CSE181.6</t>
  </si>
  <si>
    <t>CSE265.10</t>
  </si>
  <si>
    <t>[SHM] Md. Shamim</t>
  </si>
  <si>
    <t>CSE265.3</t>
  </si>
  <si>
    <t>CSE265.4</t>
  </si>
  <si>
    <t>CSE265.9</t>
  </si>
  <si>
    <t>CSE353.3</t>
  </si>
  <si>
    <t>CSE353.4</t>
  </si>
  <si>
    <t>CSE353.5</t>
  </si>
  <si>
    <t>CSE353.6</t>
  </si>
  <si>
    <t>CSE353.7</t>
  </si>
  <si>
    <t>CSE365.12</t>
  </si>
  <si>
    <t>[SHSH] Shoeb Mohammad Shahriar</t>
  </si>
  <si>
    <t>CSE365.13</t>
  </si>
  <si>
    <t>GED1123.15</t>
  </si>
  <si>
    <t>[FURA] Furkan Ahmed</t>
  </si>
  <si>
    <t>GED1123.16</t>
  </si>
  <si>
    <t>Monday</t>
  </si>
  <si>
    <t>Slot - 07</t>
  </si>
  <si>
    <t>05.10.2026</t>
  </si>
  <si>
    <t>CSE261.6</t>
  </si>
  <si>
    <t>Numerical Methods</t>
  </si>
  <si>
    <t>[MIF] Miftahul Sheikh</t>
  </si>
  <si>
    <t>Proctor</t>
  </si>
  <si>
    <t>CSE365.8</t>
  </si>
  <si>
    <t>CSE381.5</t>
  </si>
  <si>
    <t>Introduction to Embedded Systems</t>
  </si>
  <si>
    <t>[MRAI] Md. Rashedul Islam</t>
  </si>
  <si>
    <t>CSE381.6</t>
  </si>
  <si>
    <t>CSE381.7</t>
  </si>
  <si>
    <t>[MZSH] Zarif Safwan Hoque</t>
  </si>
  <si>
    <t>CSE443.7</t>
  </si>
  <si>
    <t>[RZC] Md. Reasad Zaman Chowdhury</t>
  </si>
  <si>
    <t>ELL1303.1</t>
  </si>
  <si>
    <t>Advanced English Skills</t>
  </si>
  <si>
    <t>[TAH] Tanjila Hossen</t>
  </si>
  <si>
    <t>ELL1303.2</t>
  </si>
  <si>
    <t>[SAT] Sadia Afroj Tithi</t>
  </si>
  <si>
    <t>ELL1303.3</t>
  </si>
  <si>
    <t>[SMTO] Shuddha M. Tousif</t>
  </si>
  <si>
    <t>ELL1303.4</t>
  </si>
  <si>
    <t>[MHTL] Mehedi Hassan Talukder</t>
  </si>
  <si>
    <t>ELL1303.5</t>
  </si>
  <si>
    <t>[TMO] Tabassum Mahmud Ornab</t>
  </si>
  <si>
    <t>ELL1303.6</t>
  </si>
  <si>
    <t>ELL1303.7</t>
  </si>
  <si>
    <t>[DAFN] Dewan Abul Fatah Naeem</t>
  </si>
  <si>
    <t>ELL1303.8</t>
  </si>
  <si>
    <t>MAT1303.10</t>
  </si>
  <si>
    <t>Differential Equations and Transforms</t>
  </si>
  <si>
    <t>[MTK] Md. Tamim Khandakar</t>
  </si>
  <si>
    <t>MAT1303.11</t>
  </si>
  <si>
    <t>MAT1303.9</t>
  </si>
  <si>
    <t>Slot - 08</t>
  </si>
  <si>
    <t>CSE241.10</t>
  </si>
  <si>
    <t>CSE241.11</t>
  </si>
  <si>
    <t>[NIBI] Sheikh Md. Nibir</t>
  </si>
  <si>
    <t>CSE241.12</t>
  </si>
  <si>
    <t>CSE241.5</t>
  </si>
  <si>
    <t>[MHB] Md. Habibullah Belali</t>
  </si>
  <si>
    <t>CSE241.6</t>
  </si>
  <si>
    <t>CSE241.9</t>
  </si>
  <si>
    <t>CSE263.4</t>
  </si>
  <si>
    <t>Digital Logic Design</t>
  </si>
  <si>
    <t>[SOY] Somonindro Roy</t>
  </si>
  <si>
    <t>CSE3015.1</t>
  </si>
  <si>
    <t>[MEAH] Mehedi Ahamed</t>
  </si>
  <si>
    <t>CSE343.1</t>
  </si>
  <si>
    <t>[GZI] Dr. Gazi Zahirul Islam</t>
  </si>
  <si>
    <t>CSE343.10</t>
  </si>
  <si>
    <t>CSE343.11</t>
  </si>
  <si>
    <t>CSE343.2</t>
  </si>
  <si>
    <t>CSE343.3</t>
  </si>
  <si>
    <t>CSE343.6</t>
  </si>
  <si>
    <t>[MAIM] Maisha Muntaha</t>
  </si>
  <si>
    <t>CSE343.7</t>
  </si>
  <si>
    <t>CSE343.8</t>
  </si>
  <si>
    <t>CSE343.9</t>
  </si>
  <si>
    <t>CSE443.3</t>
  </si>
  <si>
    <t>[MHSU] Mahjabin Sultana</t>
  </si>
  <si>
    <t>CSE443.4</t>
  </si>
  <si>
    <t>ENG102.1</t>
  </si>
  <si>
    <t>Intermediate English Skills</t>
  </si>
  <si>
    <t>Slot - 09</t>
  </si>
  <si>
    <t>CSE343.13</t>
  </si>
  <si>
    <t>[SHAP] Shahriar Parvej</t>
  </si>
  <si>
    <t>CSE381.8</t>
  </si>
  <si>
    <t>[NAAO] Md. Nahid Anam Opu</t>
  </si>
  <si>
    <t>CSE381.9</t>
  </si>
  <si>
    <t>CSE383.1</t>
  </si>
  <si>
    <t>ENG103.10</t>
  </si>
  <si>
    <t>ENG103.11</t>
  </si>
  <si>
    <t>ENG103.12</t>
  </si>
  <si>
    <t>ENG103.13</t>
  </si>
  <si>
    <t>ENG103.6</t>
  </si>
  <si>
    <t>[MER] Meherun Nesa</t>
  </si>
  <si>
    <t>ENG103.7</t>
  </si>
  <si>
    <t>ENG103.8</t>
  </si>
  <si>
    <t>[NJA] Nusrat Jahan Anika</t>
  </si>
  <si>
    <t>ENG103.9</t>
  </si>
  <si>
    <t>[ASM] Anika Shormily Meem</t>
  </si>
  <si>
    <t>MAT261.5</t>
  </si>
  <si>
    <t>[MALN] Md Alamin</t>
  </si>
  <si>
    <t>Tuesday</t>
  </si>
  <si>
    <t>Slot - 16</t>
  </si>
  <si>
    <t>06.10.2026</t>
  </si>
  <si>
    <t>CSE381.13</t>
  </si>
  <si>
    <t>[TMD] Tashreef Muhammad</t>
  </si>
  <si>
    <t>CSE381.14</t>
  </si>
  <si>
    <t>CSE383.8</t>
  </si>
  <si>
    <t>CSE383.9</t>
  </si>
  <si>
    <t>CSE473.3</t>
  </si>
  <si>
    <t>ECO461.10</t>
  </si>
  <si>
    <t>[MRAH] Md. Rashidul Hasan</t>
  </si>
  <si>
    <t>ECO461.5</t>
  </si>
  <si>
    <t>[DMRS] Dr. Md. Mizanur Rahman Sarker</t>
  </si>
  <si>
    <t>ECO461.6</t>
  </si>
  <si>
    <t>MGT281.3</t>
  </si>
  <si>
    <t>[MAJ] Marjahan Akter Jhumu</t>
  </si>
  <si>
    <t>PHY1103.11</t>
  </si>
  <si>
    <t>Physics I</t>
  </si>
  <si>
    <t>[TNHR] Tanver Hossain Refat</t>
  </si>
  <si>
    <t>PHY1103.12</t>
  </si>
  <si>
    <t>PHY1103.8</t>
  </si>
  <si>
    <t>PHY1211.3</t>
  </si>
  <si>
    <t>Physics II</t>
  </si>
  <si>
    <t>[ADB] Abdul Barik</t>
  </si>
  <si>
    <t>PHY161.2</t>
  </si>
  <si>
    <t>[DRAD] Dr. Ramit Azad</t>
  </si>
  <si>
    <t>PHY181.2</t>
  </si>
  <si>
    <t>[DMAZ] Dr. Md. Azizar Rahman</t>
  </si>
  <si>
    <t>PHY181.3</t>
  </si>
  <si>
    <t>Slot - 17</t>
  </si>
  <si>
    <t>CSE281.1</t>
  </si>
  <si>
    <t>Introduction to Programming Language II (Java)</t>
  </si>
  <si>
    <t>[MABH] Mahdi Bhuiyan</t>
  </si>
  <si>
    <t>CSE281.2</t>
  </si>
  <si>
    <t>CSE347.1</t>
  </si>
  <si>
    <t>Advanced Networking</t>
  </si>
  <si>
    <t>[KHNA] Khaza Newaz Muhammad</t>
  </si>
  <si>
    <t>CSE347.2</t>
  </si>
  <si>
    <t>CSE351.1</t>
  </si>
  <si>
    <t>[FIZA] Nabiha Fiza</t>
  </si>
  <si>
    <t>CSE351.2</t>
  </si>
  <si>
    <t>CSE355.7</t>
  </si>
  <si>
    <t>[MUI] Md. Muhiminul Islam</t>
  </si>
  <si>
    <t>CSE443.10</t>
  </si>
  <si>
    <t>[TAJO] Tanjina Oriana</t>
  </si>
  <si>
    <t>MGT281.4</t>
  </si>
  <si>
    <t>[MMMM] Dr. Mia Muhammad Mustafiz Munir</t>
  </si>
  <si>
    <t>Slot - 18</t>
  </si>
  <si>
    <t>CSE261.2</t>
  </si>
  <si>
    <t>[DMOS] Dr. Mohammad Shafiul Alam</t>
  </si>
  <si>
    <t>CSE471.4</t>
  </si>
  <si>
    <t>[NJJO] Nusrat Jahan Jonaki</t>
  </si>
  <si>
    <t>CSE471.5</t>
  </si>
  <si>
    <t>CSE471.6</t>
  </si>
  <si>
    <t>[BIPA] Bidyarthi Paul</t>
  </si>
  <si>
    <t>PHY1103.10</t>
  </si>
  <si>
    <t>[MUKO] Mustofa Khalid Ovi</t>
  </si>
  <si>
    <t>PHY1103.7</t>
  </si>
  <si>
    <t>PHY1103.9</t>
  </si>
  <si>
    <t>PHY181.10</t>
  </si>
  <si>
    <t>[TSR] Dr. Tanu Arefin</t>
  </si>
  <si>
    <t>PHY181.4</t>
  </si>
  <si>
    <t>[IJ] Ishrat Jahan</t>
  </si>
  <si>
    <t>PHY181.5</t>
  </si>
  <si>
    <t>PHY181.6</t>
  </si>
  <si>
    <t>PHY181.7</t>
  </si>
  <si>
    <t>PHY181.8</t>
  </si>
  <si>
    <t>[RIA] Rubia Anwar</t>
  </si>
  <si>
    <t>PHY181.9</t>
  </si>
  <si>
    <t>SOC341.11</t>
  </si>
  <si>
    <t>[TAIS] Tasmiya Islam</t>
  </si>
  <si>
    <t>SOC341.12</t>
  </si>
  <si>
    <t>SOC341.5</t>
  </si>
  <si>
    <t>[JRH] Md. Jillur Rahman Zihad</t>
  </si>
  <si>
    <t>SOC341.6</t>
  </si>
  <si>
    <t>[MDAY] Md. Ayon Mia</t>
  </si>
  <si>
    <t>SOC341.7</t>
  </si>
  <si>
    <t>Wednesday</t>
  </si>
  <si>
    <t>Slot - 22</t>
  </si>
  <si>
    <t>07.10.2026</t>
  </si>
  <si>
    <t>CSE265.6</t>
  </si>
  <si>
    <t>CSE365.1</t>
  </si>
  <si>
    <t>[BAR] Borhan Ul Arif</t>
  </si>
  <si>
    <t>CSE365.2</t>
  </si>
  <si>
    <t>CSE4041.1</t>
  </si>
  <si>
    <t>CSE443.8</t>
  </si>
  <si>
    <t>[SUNI] Md. Sunzidul Islam</t>
  </si>
  <si>
    <t>CSE443.9</t>
  </si>
  <si>
    <t>EEE181.6</t>
  </si>
  <si>
    <t>[KRH] Khondker Rawan Hamid</t>
  </si>
  <si>
    <t>EEE241.1</t>
  </si>
  <si>
    <t>Electronic Devices &amp; Circuits I</t>
  </si>
  <si>
    <t>EEE241.11</t>
  </si>
  <si>
    <t>[SS] Shahad Saroar</t>
  </si>
  <si>
    <t>EEE241.12</t>
  </si>
  <si>
    <t>EEE241.2</t>
  </si>
  <si>
    <t>EEE241.3</t>
  </si>
  <si>
    <t>ETE281.1</t>
  </si>
  <si>
    <t>Communication Theory</t>
  </si>
  <si>
    <t>[DUR] Dr. Md. Ruhul Amin</t>
  </si>
  <si>
    <t>ETE281.2</t>
  </si>
  <si>
    <t>GED1111.5</t>
  </si>
  <si>
    <t>Principles of Accounting</t>
  </si>
  <si>
    <t>[FARA] Farhana Akter</t>
  </si>
  <si>
    <t>GED1111.6</t>
  </si>
  <si>
    <t>SOC341.8</t>
  </si>
  <si>
    <t>[MDHB] Mahdin Mahboob</t>
  </si>
  <si>
    <t>Slot - 23</t>
  </si>
  <si>
    <t>CSE1201.5</t>
  </si>
  <si>
    <t>Structured Programming</t>
  </si>
  <si>
    <t>[SM] Shahriar Manzoor</t>
  </si>
  <si>
    <t>CSE1201.6</t>
  </si>
  <si>
    <t>CSE361.10</t>
  </si>
  <si>
    <t>Operating Systems</t>
  </si>
  <si>
    <t>[NON] Noman Amin</t>
  </si>
  <si>
    <t>CSE361.11</t>
  </si>
  <si>
    <t>CSE361.12</t>
  </si>
  <si>
    <t>[SAHO] Sadia Hossain</t>
  </si>
  <si>
    <t>CSE361.13</t>
  </si>
  <si>
    <t>[SHKU] Shujoy Kundu</t>
  </si>
  <si>
    <t>CSE361.14</t>
  </si>
  <si>
    <t>CSE361.5</t>
  </si>
  <si>
    <t>[MRRR] Mst Rubaiya Raktin Raha</t>
  </si>
  <si>
    <t>CSE361.6</t>
  </si>
  <si>
    <t>CSE361.9</t>
  </si>
  <si>
    <t>[NAIM] Naimur Rahman</t>
  </si>
  <si>
    <t>CSE363.7</t>
  </si>
  <si>
    <t>[RADT] Radiathun Tasnia</t>
  </si>
  <si>
    <t>CSE363.8</t>
  </si>
  <si>
    <t>CSE363.9</t>
  </si>
  <si>
    <t>EEE181.2</t>
  </si>
  <si>
    <t>[DLH] Dr. Mohammad Lutful Hakim</t>
  </si>
  <si>
    <t>EEE181.3</t>
  </si>
  <si>
    <t>EEE181.4</t>
  </si>
  <si>
    <t>Dean</t>
  </si>
  <si>
    <t>EEE181.8</t>
  </si>
  <si>
    <t>MAT261.3</t>
  </si>
  <si>
    <t>[GM] Golam Mostafa</t>
  </si>
  <si>
    <t>MAT261.4</t>
  </si>
  <si>
    <t>Slot - 24</t>
  </si>
  <si>
    <t>CSE1201.1</t>
  </si>
  <si>
    <t>CSE1201.2</t>
  </si>
  <si>
    <t>CSE265.1</t>
  </si>
  <si>
    <t>[AMH] Md. Asiful Islam Miah</t>
  </si>
  <si>
    <t>CSE265.2</t>
  </si>
  <si>
    <t>CSE265.7</t>
  </si>
  <si>
    <t>[SDK] Shimul Dey Katha</t>
  </si>
  <si>
    <t>CSE265.8</t>
  </si>
  <si>
    <t>CSE281.6</t>
  </si>
  <si>
    <t>[MSSR] Snigdha Rahman</t>
  </si>
  <si>
    <t>CSE281.7</t>
  </si>
  <si>
    <t>CSE375.1</t>
  </si>
  <si>
    <t>[ANMM] A N M Zahid Hossain Milkan</t>
  </si>
  <si>
    <t>CSE375.2</t>
  </si>
  <si>
    <t>EEE181.10</t>
  </si>
  <si>
    <t>[MDSM] Md. Shanian Moed</t>
  </si>
  <si>
    <t>EEE181.11</t>
  </si>
  <si>
    <t>[YAM] Md. Bin Yeamin</t>
  </si>
  <si>
    <t>EEE181.9</t>
  </si>
  <si>
    <t>EEE241.6</t>
  </si>
  <si>
    <t>[ASH] Ahnaf Shahriyar</t>
  </si>
  <si>
    <t>Thursday</t>
  </si>
  <si>
    <t>Slot - 04</t>
  </si>
  <si>
    <t>08.10.2026</t>
  </si>
  <si>
    <t>CSE263.1</t>
  </si>
  <si>
    <t>[FUZ] Farhad Uz Zaman</t>
  </si>
  <si>
    <t>CSE263.2</t>
  </si>
  <si>
    <t>CSE359.1</t>
  </si>
  <si>
    <t>[ANAR] Anika Rahman</t>
  </si>
  <si>
    <t>CSE359.2</t>
  </si>
  <si>
    <t>CSE363.5</t>
  </si>
  <si>
    <t>[MSNS] Mst. Shafiatun Nur Shimu</t>
  </si>
  <si>
    <t>CSE363.6</t>
  </si>
  <si>
    <t>CSE4033.1</t>
  </si>
  <si>
    <t>[IN] S I M Adnan</t>
  </si>
  <si>
    <t>CSE471.2</t>
  </si>
  <si>
    <t>[ANMS] Anik Mahmud Shanto</t>
  </si>
  <si>
    <t>CSE471.3</t>
  </si>
  <si>
    <t>ECO461.9</t>
  </si>
  <si>
    <t>[SKDA] Snigdha Krishna Das</t>
  </si>
  <si>
    <t>STA281.4</t>
  </si>
  <si>
    <t>Statistical Methods &amp; Probability</t>
  </si>
  <si>
    <t>[MUKH] Muhaimen Khan</t>
  </si>
  <si>
    <t>STA281.5</t>
  </si>
  <si>
    <t>STA281.6</t>
  </si>
  <si>
    <t>Slot - 05</t>
  </si>
  <si>
    <t>ACT141.4</t>
  </si>
  <si>
    <t>[DOF] Dr. Mohammad Omar Faruq</t>
  </si>
  <si>
    <t>CSE365.3</t>
  </si>
  <si>
    <t>CSE365.4</t>
  </si>
  <si>
    <t>CSE365.5</t>
  </si>
  <si>
    <t>ECO461.1</t>
  </si>
  <si>
    <t>[DAA] Dr. Al Amin Al Abbasi</t>
  </si>
  <si>
    <t>ECO461.2</t>
  </si>
  <si>
    <t>EEE181.7</t>
  </si>
  <si>
    <t>[SKAA] Dr. SK. Abdul Kader Arafin</t>
  </si>
  <si>
    <t>MAT1103.7</t>
  </si>
  <si>
    <t>[SHR] Md. Sarowar Hossain Rana</t>
  </si>
  <si>
    <t>Director</t>
  </si>
  <si>
    <t>MAT1103.8</t>
  </si>
  <si>
    <t>MAT1303.6</t>
  </si>
  <si>
    <t>[MDI] Md. Asraful Islam</t>
  </si>
  <si>
    <t>SOC341.1</t>
  </si>
  <si>
    <t>[AP] Md. Anower Perves</t>
  </si>
  <si>
    <t>Slot - 06</t>
  </si>
  <si>
    <t>CSE263.5</t>
  </si>
  <si>
    <t>CSE263.6</t>
  </si>
  <si>
    <t>CSE263.7</t>
  </si>
  <si>
    <t>CSE263.8</t>
  </si>
  <si>
    <t>[TAT] Dr. Taslim Taher</t>
  </si>
  <si>
    <t>CSE263.9</t>
  </si>
  <si>
    <t>CSE345.3</t>
  </si>
  <si>
    <t>Information System Design &amp; Software Engineering</t>
  </si>
  <si>
    <t>CSE345.4</t>
  </si>
  <si>
    <t>CSE355.5</t>
  </si>
  <si>
    <t>CSE355.6</t>
  </si>
  <si>
    <t>CSE4035.1</t>
  </si>
  <si>
    <t>[MNAR] Namirah Rasul</t>
  </si>
  <si>
    <t>CSE473.4</t>
  </si>
  <si>
    <t>MAT1103.1</t>
  </si>
  <si>
    <t>MAT1103.2</t>
  </si>
  <si>
    <t>MAT1103.3</t>
  </si>
  <si>
    <t>MAT1103.4</t>
  </si>
  <si>
    <t>MAT1303.4</t>
  </si>
  <si>
    <t>[DRBH] Dr. Md. Rakibul Hasan</t>
  </si>
  <si>
    <t>Friday</t>
  </si>
  <si>
    <t>Slot - 19</t>
  </si>
  <si>
    <t>09.10.2026</t>
  </si>
  <si>
    <t>ACT141.3</t>
  </si>
  <si>
    <t>CSE181.7</t>
  </si>
  <si>
    <t>CSE241.2</t>
  </si>
  <si>
    <t>CSE241.7</t>
  </si>
  <si>
    <t>[MMIS] Md. Ismail</t>
  </si>
  <si>
    <t>CSE241.8</t>
  </si>
  <si>
    <t>CSE345.6</t>
  </si>
  <si>
    <t>CSE345.7</t>
  </si>
  <si>
    <t>CSE351.5</t>
  </si>
  <si>
    <t>[NOOR] Asaduzzaman Noor</t>
  </si>
  <si>
    <t>CSE375.4</t>
  </si>
  <si>
    <t>CSE443.5</t>
  </si>
  <si>
    <t>[MISK] Misbahul Sheikh</t>
  </si>
  <si>
    <t>ECO461.3</t>
  </si>
  <si>
    <t>[HAB] Hasan Al Banna</t>
  </si>
  <si>
    <t>GED1111.8</t>
  </si>
  <si>
    <t>[JNS] Jannatul Naim Sweety</t>
  </si>
  <si>
    <t>Slot - 20</t>
  </si>
  <si>
    <t>CSE181.1</t>
  </si>
  <si>
    <t>[FBH] Md. Ferdous Bin Hafiz</t>
  </si>
  <si>
    <t>CSE181.2</t>
  </si>
  <si>
    <t>CSE341.13</t>
  </si>
  <si>
    <t>CSE361.3</t>
  </si>
  <si>
    <t>CSE361.4</t>
  </si>
  <si>
    <t>CSE361.7</t>
  </si>
  <si>
    <t>CSE361.8</t>
  </si>
  <si>
    <t>CSE363.10</t>
  </si>
  <si>
    <t>MAT261.10</t>
  </si>
  <si>
    <t>MAT261.8</t>
  </si>
  <si>
    <t>MAT261.9</t>
  </si>
  <si>
    <t>MGT281.1</t>
  </si>
  <si>
    <t>[KFA] Kanis Fatema</t>
  </si>
  <si>
    <t>MGT281.2</t>
  </si>
  <si>
    <t>MGT281.5</t>
  </si>
  <si>
    <t>[SKA] Syeda Khadiza Akter</t>
  </si>
  <si>
    <t>ACT141.5</t>
  </si>
  <si>
    <t>CSE261.1</t>
  </si>
  <si>
    <t>CSE263.3</t>
  </si>
  <si>
    <t>CSE343.4</t>
  </si>
  <si>
    <t>CSE345.2</t>
  </si>
  <si>
    <t>CSE353.2</t>
  </si>
  <si>
    <t>CSE361.1</t>
  </si>
  <si>
    <t>[MMH] Md Moinul Hoque</t>
  </si>
  <si>
    <t>CSE365.9</t>
  </si>
  <si>
    <t>CSE441.2</t>
  </si>
  <si>
    <t>CSE443.6</t>
  </si>
  <si>
    <t>EEE241.4</t>
  </si>
  <si>
    <t>[AMS] Adnan Amin Siddiquee</t>
  </si>
  <si>
    <t>ETE281.11</t>
  </si>
  <si>
    <t>ETE281.12</t>
  </si>
  <si>
    <t>[TANA] Tanvir Ahmed</t>
  </si>
  <si>
    <t>PHY181.1</t>
  </si>
  <si>
    <t>[DHA] Dr. Hasina Akther</t>
  </si>
  <si>
    <t>Invigilator Remains: 41</t>
  </si>
  <si>
    <t>Slot - 21</t>
  </si>
  <si>
    <t>CSE161.2</t>
  </si>
  <si>
    <t>Programming Language I</t>
  </si>
  <si>
    <t>CSE161.3</t>
  </si>
  <si>
    <t>CSE281.10</t>
  </si>
  <si>
    <t>CSE281.11</t>
  </si>
  <si>
    <t>[SUBA] Subah Noshin</t>
  </si>
  <si>
    <t>CSE281.12</t>
  </si>
  <si>
    <t>CSE281.3</t>
  </si>
  <si>
    <t>CSE281.4</t>
  </si>
  <si>
    <t>CSE281.8</t>
  </si>
  <si>
    <t>[MSZA] Md. Safwan Zaher Asif</t>
  </si>
  <si>
    <t>CSE281.9</t>
  </si>
  <si>
    <t>CSE3035.1</t>
  </si>
  <si>
    <t>[TAJU] Md. Tanbeer Jubaer</t>
  </si>
  <si>
    <t>CSE345.10</t>
  </si>
  <si>
    <t>CSE345.11</t>
  </si>
  <si>
    <t>CSE345.12</t>
  </si>
  <si>
    <t>CSE345.13</t>
  </si>
  <si>
    <t>PSAC</t>
  </si>
  <si>
    <t>CSE345.5</t>
  </si>
  <si>
    <t>CSE345.9</t>
  </si>
  <si>
    <t>CSE4039.1</t>
  </si>
  <si>
    <t>[MDSR] Mohammad Shohel Rana</t>
  </si>
  <si>
    <t>CSE475.3</t>
  </si>
  <si>
    <t>CSE475.4</t>
  </si>
  <si>
    <t>CSE475.5</t>
  </si>
  <si>
    <t>PHY1211.6</t>
  </si>
  <si>
    <t>[HDU] Md. Hedayet Ullah</t>
  </si>
  <si>
    <t>PHY1211.7</t>
  </si>
  <si>
    <t>CSE141.1</t>
  </si>
  <si>
    <t>Computer Fundamentals</t>
  </si>
  <si>
    <t>CSE359.3</t>
  </si>
  <si>
    <t>CSE383.7</t>
  </si>
  <si>
    <t>CSE473.1</t>
  </si>
  <si>
    <t>STA281.3</t>
  </si>
  <si>
    <t>Invigilator Remains: 13</t>
  </si>
  <si>
    <t>Slot - G</t>
  </si>
  <si>
    <t>CSE281.5</t>
  </si>
  <si>
    <t>[MRZ] Md. Miraz Hossain</t>
  </si>
  <si>
    <t>CSE361.2</t>
  </si>
  <si>
    <t>CSE375.5</t>
  </si>
  <si>
    <t>[SINA] Md. Ibne Sina</t>
  </si>
  <si>
    <t>EEE241.5</t>
  </si>
  <si>
    <t>MAT161.1</t>
  </si>
  <si>
    <t>Coordinate Geometry and Vector Analysis</t>
  </si>
  <si>
    <t>MATH1024.1</t>
  </si>
  <si>
    <t>PSAC+Coord</t>
  </si>
  <si>
    <t>SOC341.9</t>
  </si>
  <si>
    <t>[MEK] Mohammad Enamul Kabir</t>
  </si>
  <si>
    <t>Invigilator Remains: 35</t>
  </si>
  <si>
    <t>Slot - 01</t>
  </si>
  <si>
    <t>10.10.2026</t>
  </si>
  <si>
    <t>CSE1201.7</t>
  </si>
  <si>
    <t>CSE161.1</t>
  </si>
  <si>
    <t>CSE161.4</t>
  </si>
  <si>
    <t>CSE181.8</t>
  </si>
  <si>
    <t>CSE341.6</t>
  </si>
  <si>
    <t>CSE365.11</t>
  </si>
  <si>
    <t>[NKY] Nafisa Khan Youkee</t>
  </si>
  <si>
    <t>CSE441.10</t>
  </si>
  <si>
    <t>[NI] Md. Nazrul Islam</t>
  </si>
  <si>
    <t>CSE441.7</t>
  </si>
  <si>
    <t>CSE441.9</t>
  </si>
  <si>
    <t>GED1111.1</t>
  </si>
  <si>
    <t>[FZC] Dr. Faieza Chowdhury</t>
  </si>
  <si>
    <t>GED1111.3</t>
  </si>
  <si>
    <t>GED1111.4</t>
  </si>
  <si>
    <t>STA281.10</t>
  </si>
  <si>
    <t>STA281.11</t>
  </si>
  <si>
    <t>STA281.7</t>
  </si>
  <si>
    <t>[SAMD] Shifat Ahmed</t>
  </si>
  <si>
    <t>STA281.8</t>
  </si>
  <si>
    <t>STA281.9</t>
  </si>
  <si>
    <t>Invigilator Remains: 37</t>
  </si>
  <si>
    <t>Slot - 02</t>
  </si>
  <si>
    <t>CSE341.1</t>
  </si>
  <si>
    <t>[AHQ] Mohammad Ashraful Hoque</t>
  </si>
  <si>
    <t>CSE341.2</t>
  </si>
  <si>
    <t>CSE441.4</t>
  </si>
  <si>
    <t>CSE441.5</t>
  </si>
  <si>
    <t>CSE441.6</t>
  </si>
  <si>
    <t>CSE441.8</t>
  </si>
  <si>
    <t>MAT1103.5</t>
  </si>
  <si>
    <t>[MDH] Md. Mojaammel Haque</t>
  </si>
  <si>
    <t>MAT1103.6</t>
  </si>
  <si>
    <t>MAT241.1</t>
  </si>
  <si>
    <t>[SUM] Sumaiya Akter Sumy</t>
  </si>
  <si>
    <t>MAT241.2</t>
  </si>
  <si>
    <t>[DMMB] Dr. Md. Masum Billah</t>
  </si>
  <si>
    <t>MAT241.3</t>
  </si>
  <si>
    <t>[MAR] Md. Anowar Hossain</t>
  </si>
  <si>
    <t>MAT241.4</t>
  </si>
  <si>
    <t>MAT241.5</t>
  </si>
  <si>
    <t>MAT241.7</t>
  </si>
  <si>
    <t>MAT241.8</t>
  </si>
  <si>
    <t>PHY1103.13</t>
  </si>
  <si>
    <t>[DAM] Dr. Abdulla Al Momin</t>
  </si>
  <si>
    <t>PHY1103.14</t>
  </si>
  <si>
    <t>Slot - 03</t>
  </si>
  <si>
    <t>CSE1201.3</t>
  </si>
  <si>
    <t>CSE1201.4</t>
  </si>
  <si>
    <t>No Duty on 16th August</t>
  </si>
  <si>
    <t>CSE261.10</t>
  </si>
  <si>
    <t>CSE261.3</t>
  </si>
  <si>
    <t>CSE261.4</t>
  </si>
  <si>
    <t>CSE261.5</t>
  </si>
  <si>
    <t>CSE261.7</t>
  </si>
  <si>
    <t>CSE261.8</t>
  </si>
  <si>
    <t>CSE261.9</t>
  </si>
  <si>
    <t>CSE345.8</t>
  </si>
  <si>
    <t>CSE363.11</t>
  </si>
  <si>
    <t>CSE381.1</t>
  </si>
  <si>
    <t>CSE381.11</t>
  </si>
  <si>
    <t>[SRAB] Sheikh Fazle Rabbi</t>
  </si>
  <si>
    <t>CSE381.12</t>
  </si>
  <si>
    <t>CSE381.4</t>
  </si>
  <si>
    <t>GED1111.2</t>
  </si>
  <si>
    <t>[TBK] Tasnim Binte Kabir</t>
  </si>
  <si>
    <t>MAT161.2</t>
  </si>
  <si>
    <t>[MDAZ] Md. Asadujjaman</t>
  </si>
  <si>
    <t>MAT161.3</t>
  </si>
  <si>
    <t>CSE351.3</t>
  </si>
  <si>
    <t>CSE363.1</t>
  </si>
  <si>
    <t>CSE441.3</t>
  </si>
  <si>
    <t>CSE443.2</t>
  </si>
  <si>
    <t>Invigilator Remains: 19</t>
  </si>
  <si>
    <t>Slot - A</t>
  </si>
  <si>
    <t>CSE341.3</t>
  </si>
  <si>
    <t>CSE345.1</t>
  </si>
  <si>
    <t>[AHS] Ashek Seum</t>
  </si>
  <si>
    <t>CSE355.10</t>
  </si>
  <si>
    <t>[RKM] Md. Rakibul Islam</t>
  </si>
  <si>
    <t>CSE359.8</t>
  </si>
  <si>
    <t>CSE363.4</t>
  </si>
  <si>
    <t>[MHZ] Md. Zahid Hossain</t>
  </si>
  <si>
    <t>CSE365.7</t>
  </si>
  <si>
    <t>CSE381.3</t>
  </si>
  <si>
    <t>[GRB] Golam Rabbany</t>
  </si>
  <si>
    <t>CSE475.1</t>
  </si>
  <si>
    <t>EEE181.5</t>
  </si>
  <si>
    <t>[IHS] Imran Hossain Sabuj</t>
  </si>
  <si>
    <t>MAT261.2</t>
  </si>
  <si>
    <t>[GKS] Goutam Kumar Saha</t>
  </si>
  <si>
    <t>SOC341.10</t>
  </si>
  <si>
    <t>Invigilator Remains: 15</t>
  </si>
  <si>
    <t>Slot - B</t>
  </si>
  <si>
    <t>CSE341.4</t>
  </si>
  <si>
    <t>CSE343.12</t>
  </si>
  <si>
    <t>CSE355.11</t>
  </si>
  <si>
    <t>CSE363.3</t>
  </si>
  <si>
    <t>CSE381.2</t>
  </si>
  <si>
    <t>MAT261.1</t>
  </si>
  <si>
    <t>Slot - 10</t>
  </si>
  <si>
    <t>11.10.2026</t>
  </si>
  <si>
    <t>CSE341.10</t>
  </si>
  <si>
    <t>CSE341.15</t>
  </si>
  <si>
    <t>[ZAHA] Ziyan Shirin Raha</t>
  </si>
  <si>
    <t>CSE341.16</t>
  </si>
  <si>
    <t>CSE341.7</t>
  </si>
  <si>
    <t>[JAR] Mst. Jesiara Khatun</t>
  </si>
  <si>
    <t>CSE341.8</t>
  </si>
  <si>
    <t>CSE341.9</t>
  </si>
  <si>
    <t>CSE4011.1</t>
  </si>
  <si>
    <t>CSE4037.1</t>
  </si>
  <si>
    <t>Cryptography &amp; Network Security</t>
  </si>
  <si>
    <t>[DMHN] Dr. Md. Maruf Hassan</t>
  </si>
  <si>
    <t>CSE479.1</t>
  </si>
  <si>
    <t>CSE479.2</t>
  </si>
  <si>
    <t>ETE281.10</t>
  </si>
  <si>
    <t>[MMRF] Md. Mushfiqur Rahman Fakir</t>
  </si>
  <si>
    <t>ETE281.13</t>
  </si>
  <si>
    <t>ETE281.3</t>
  </si>
  <si>
    <t>[FAFA] Faika Fairuj Preotee</t>
  </si>
  <si>
    <t>ETE281.4</t>
  </si>
  <si>
    <t>ETE281.9</t>
  </si>
  <si>
    <t>MAT141.2</t>
  </si>
  <si>
    <t>MAT241.10</t>
  </si>
  <si>
    <t>MAT241.11</t>
  </si>
  <si>
    <t>MAT241.9</t>
  </si>
  <si>
    <t>Slot - 11</t>
  </si>
  <si>
    <t>CSE383.2</t>
  </si>
  <si>
    <t>CSE383.3</t>
  </si>
  <si>
    <t>CSE383.4</t>
  </si>
  <si>
    <t>CSE383.5</t>
  </si>
  <si>
    <t>PHY1211.4</t>
  </si>
  <si>
    <t>[DMMA] Dr. Md. Murad Ahmed</t>
  </si>
  <si>
    <t>PHY1211.5</t>
  </si>
  <si>
    <t>STA281.1</t>
  </si>
  <si>
    <t>[MAKR] Dr. Mohammed Ashikur Rahman</t>
  </si>
  <si>
    <t>STA281.2</t>
  </si>
  <si>
    <t>Invigilator Remains: 33</t>
  </si>
  <si>
    <t>Slot - 12</t>
  </si>
  <si>
    <t>CSE341.11</t>
  </si>
  <si>
    <t>CSE341.12</t>
  </si>
  <si>
    <t>CSE355.2</t>
  </si>
  <si>
    <t>CSE355.3</t>
  </si>
  <si>
    <t>CSE355.8</t>
  </si>
  <si>
    <t>CSE355.9</t>
  </si>
  <si>
    <t>EEE241.10</t>
  </si>
  <si>
    <t>[MAMA] Mayukh Mallick</t>
  </si>
  <si>
    <t>EEE241.7</t>
  </si>
  <si>
    <t>EEE241.8</t>
  </si>
  <si>
    <t>EEE241.9</t>
  </si>
  <si>
    <t>ETE2023.1</t>
  </si>
  <si>
    <t>ETE281.5</t>
  </si>
  <si>
    <t>ETE281.6</t>
  </si>
  <si>
    <t>ETE281.7</t>
  </si>
  <si>
    <t>ETE281.8</t>
  </si>
  <si>
    <t>GED1111.7</t>
  </si>
  <si>
    <t>[RBH] Ramisha Binty Hasan</t>
  </si>
  <si>
    <t>PHY1211.8</t>
  </si>
  <si>
    <t>[NDTH] Nipa Debnath</t>
  </si>
  <si>
    <t>PHY1211.9</t>
  </si>
  <si>
    <t>ENG105.6</t>
  </si>
  <si>
    <t>Public Speaking</t>
  </si>
  <si>
    <t>ENG105.15</t>
  </si>
  <si>
    <t>ENG105.9</t>
  </si>
  <si>
    <t>ENG105.10</t>
  </si>
  <si>
    <t>[NAN] Nujhat Afrin</t>
  </si>
  <si>
    <t>ENG105.11</t>
  </si>
  <si>
    <t>[SHK] Shushmita Hossain Khan</t>
  </si>
  <si>
    <t>ENG105.7</t>
  </si>
  <si>
    <t>ENG105.8</t>
  </si>
  <si>
    <t>[DSK] Dr. Mst. Shahanaz Khanam</t>
  </si>
  <si>
    <t>ENG105.13</t>
  </si>
  <si>
    <t>[APZ] Anwar Parvez</t>
  </si>
  <si>
    <t>ENG105.14</t>
  </si>
  <si>
    <t>ENG105.12</t>
  </si>
  <si>
    <t>AI/Robotics</t>
  </si>
  <si>
    <t>No Duty on 15th August</t>
  </si>
  <si>
    <t>Branding</t>
  </si>
  <si>
    <t>coord</t>
  </si>
  <si>
    <t>CM</t>
  </si>
  <si>
    <t>Coord</t>
  </si>
  <si>
    <t>Curriculum</t>
  </si>
  <si>
    <t>[SARKER]</t>
  </si>
  <si>
    <t>[RAJON]</t>
  </si>
  <si>
    <t>[MOAJJEM]</t>
  </si>
  <si>
    <t>[RASHED]</t>
  </si>
  <si>
    <t>[ABDULLAH]</t>
  </si>
  <si>
    <t>[AMRAN]</t>
  </si>
  <si>
    <t>[RONJU]</t>
  </si>
  <si>
    <t>[ARIF]</t>
  </si>
  <si>
    <t>[ROKY]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</si>
</sst>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7">
    <font>
      <sz val="10.0"/>
      <color rgb="FF000000"/>
      <name val="Arial"/>
      <scheme val="minor"/>
    </font>
    <font>
      <b/>
      <sz val="12.0"/>
      <color theme="1"/>
      <name val="Cambria"/>
    </font>
    <font>
      <b/>
      <sz val="11.0"/>
      <color rgb="FFFFFFFF"/>
      <name val="Arial Narrow"/>
    </font>
    <font>
      <color theme="1"/>
      <name val="Arial"/>
    </font>
    <font>
      <sz val="11.0"/>
      <color rgb="FFFFFFFF"/>
      <name val="Arial Narrow"/>
    </font>
    <font>
      <sz val="10.0"/>
      <color rgb="FFFFFFFF"/>
      <name val="Arial Narrow"/>
    </font>
    <font>
      <b/>
      <sz val="10.0"/>
      <color rgb="FF00FF00"/>
      <name val="Arial Narrow"/>
    </font>
    <font>
      <b/>
      <sz val="10.0"/>
      <color rgb="FFFF00FF"/>
      <name val="Arial Narrow"/>
    </font>
    <font>
      <sz val="10.0"/>
      <color rgb="FF000000"/>
      <name val="Arial Narrow"/>
    </font>
    <font>
      <color theme="1"/>
      <name val="Cambria"/>
    </font>
    <font>
      <b/>
      <sz val="10.0"/>
      <color rgb="FF000000"/>
      <name val="Arial Narrow"/>
    </font>
    <font>
      <b/>
      <sz val="16.0"/>
      <color rgb="FFFF00FF"/>
      <name val="Cambria"/>
    </font>
    <font>
      <b/>
      <sz val="10.0"/>
      <color rgb="FFFFFFFF"/>
      <name val="Arial Narrow"/>
    </font>
    <font>
      <strike/>
      <sz val="10.0"/>
      <color rgb="FF000000"/>
      <name val="Arial Narrow"/>
    </font>
    <font>
      <b/>
      <strike/>
      <sz val="10.0"/>
      <color rgb="FF000000"/>
      <name val="Arial Narrow"/>
    </font>
    <font>
      <sz val="11.0"/>
      <color theme="1"/>
      <name val="Arial Narrow"/>
    </font>
    <font>
      <color rgb="FFFF00FF"/>
      <name val="Cambria"/>
    </font>
  </fonts>
  <fills count="6">
    <fill>
      <patternFill patternType="none"/>
    </fill>
    <fill>
      <patternFill patternType="lightGray"/>
    </fill>
    <fill>
      <patternFill patternType="solid">
        <fgColor rgb="FF000000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4CCCC"/>
        <bgColor rgb="FFF4CCCC"/>
      </patternFill>
    </fill>
  </fills>
  <borders count="18">
    <border/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</border>
    <border>
      <left style="thin">
        <color rgb="FFFF9900"/>
      </left>
      <right style="thin">
        <color rgb="FFFF9900"/>
      </right>
      <top style="thin">
        <color rgb="FFFF9900"/>
      </top>
    </border>
    <border>
      <left style="thin">
        <color rgb="FFFF9900"/>
      </left>
      <right style="thin">
        <color rgb="FF000000"/>
      </right>
      <top style="thin">
        <color rgb="FFFF9900"/>
      </top>
      <bottom style="thin">
        <color rgb="FFFF9900"/>
      </bottom>
    </border>
    <border>
      <left style="thin">
        <color rgb="FF000000"/>
      </left>
      <right style="thin">
        <color rgb="FF000000"/>
      </right>
      <top style="thin">
        <color rgb="FFFF9900"/>
      </top>
      <bottom style="thin">
        <color rgb="FFFF9900"/>
      </bottom>
    </border>
    <border>
      <left style="thin">
        <color rgb="FF000000"/>
      </left>
      <top style="thin">
        <color rgb="FFFF9900"/>
      </top>
      <bottom style="thin">
        <color rgb="FFFF99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FF9900"/>
      </right>
      <top style="thin">
        <color rgb="FFFF9900"/>
      </top>
      <bottom style="thin">
        <color rgb="FFFF9900"/>
      </bottom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666666"/>
      </left>
      <right style="thin">
        <color rgb="FF666666"/>
      </right>
      <top style="thin">
        <color rgb="FF666666"/>
      </top>
    </border>
    <border>
      <right style="thin">
        <color rgb="FF666666"/>
      </right>
      <bottom style="thin">
        <color rgb="FF666666"/>
      </bottom>
    </border>
    <border>
      <left style="thin">
        <color rgb="FF666666"/>
      </left>
      <right style="thin">
        <color rgb="FF666666"/>
      </right>
      <bottom style="thin">
        <color rgb="FF666666"/>
      </bottom>
    </border>
    <border>
      <right style="thin">
        <color rgb="FF666666"/>
      </right>
      <top style="thin">
        <color rgb="FF666666"/>
      </top>
      <bottom style="thin">
        <color rgb="FF666666"/>
      </bottom>
    </border>
    <border>
      <right style="thin">
        <color rgb="FF666666"/>
      </right>
      <top style="thin">
        <color rgb="FF666666"/>
      </top>
    </border>
  </borders>
  <cellStyleXfs count="1">
    <xf borderId="0" fillId="0" fontId="0" numFmtId="0" applyAlignment="1" applyFont="1"/>
  </cellStyleXfs>
  <cellXfs count="78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2" fillId="2" fontId="2" numFmtId="0" xfId="0" applyAlignment="1" applyBorder="1" applyFill="1" applyFont="1">
      <alignment horizontal="center" shrinkToFit="0" vertical="center" wrapText="1"/>
    </xf>
    <xf borderId="2" fillId="2" fontId="2" numFmtId="0" xfId="0" applyAlignment="1" applyBorder="1" applyFill="1" applyFont="1">
      <alignment horizontal="center" shrinkToFit="0" vertical="top" wrapText="1"/>
    </xf>
    <xf borderId="0" fillId="0" fontId="3" numFmtId="0" xfId="0" applyAlignment="1" applyFont="1">
      <alignment vertical="center"/>
    </xf>
    <xf borderId="2" fillId="2" fontId="2" numFmtId="0" xfId="0" applyAlignment="1" applyBorder="1" applyFill="1" applyFont="1">
      <alignment horizontal="left" shrinkToFit="0" vertical="top" wrapText="1"/>
    </xf>
    <xf borderId="2" fillId="2" fontId="4" numFmtId="0" xfId="0" applyAlignment="1" applyBorder="1" applyFill="1" applyFont="1">
      <alignment shrinkToFit="0" vertical="bottom" wrapText="1"/>
    </xf>
    <xf borderId="3" fillId="2" fontId="4" numFmtId="0" xfId="0" applyAlignment="1" applyBorder="1" applyFill="1" applyFont="1">
      <alignment shrinkToFit="0" vertical="bottom" wrapText="1"/>
    </xf>
    <xf borderId="4" fillId="2" fontId="5" numFmtId="0" xfId="0" applyAlignment="1" applyBorder="1" applyFill="1" applyFont="1">
      <alignment shrinkToFit="0" vertical="center" wrapText="1"/>
    </xf>
    <xf borderId="5" fillId="2" fontId="6" numFmtId="0" xfId="0" applyAlignment="1" applyBorder="1" applyFill="1" applyFont="1">
      <alignment shrinkToFit="0" vertical="center" wrapText="1"/>
    </xf>
    <xf borderId="5" fillId="2" fontId="5" numFmtId="20" xfId="0" applyAlignment="1" applyBorder="1" applyFill="1" applyFont="1" applyNumberFormat="1">
      <alignment shrinkToFit="0" vertical="center" wrapText="1"/>
    </xf>
    <xf borderId="6" fillId="2" fontId="5" numFmtId="0" xfId="0" applyAlignment="1" applyBorder="1" applyFill="1" applyFont="1">
      <alignment shrinkToFit="0" vertical="center" wrapText="1"/>
    </xf>
    <xf borderId="2" fillId="2" fontId="7" numFmtId="0" xfId="0" applyAlignment="1" applyBorder="1" applyFill="1" applyFont="1">
      <alignment shrinkToFit="0" vertical="center" wrapText="1"/>
    </xf>
    <xf borderId="2" fillId="2" fontId="5" numFmtId="0" xfId="0" applyAlignment="1" applyBorder="1" applyFill="1" applyFont="1">
      <alignment shrinkToFit="0" vertical="center" wrapText="1"/>
    </xf>
    <xf borderId="7" fillId="3" fontId="8" numFmtId="0" xfId="0" applyAlignment="1" applyBorder="1" applyFill="1" applyFont="1">
      <alignment shrinkToFit="0" vertical="center" wrapText="1"/>
    </xf>
    <xf borderId="1" fillId="0" fontId="9" numFmtId="0" xfId="0" applyBorder="1" applyFont="1"/>
    <xf borderId="7" fillId="3" fontId="8" numFmtId="20" xfId="0" applyAlignment="1" applyBorder="1" applyFill="1" applyFont="1" applyNumberFormat="1">
      <alignment shrinkToFit="0" vertical="center" wrapText="1"/>
    </xf>
    <xf borderId="8" fillId="3" fontId="8" numFmtId="0" xfId="0" applyAlignment="1" applyBorder="1" applyFill="1" applyFont="1">
      <alignment shrinkToFit="0" vertical="center" wrapText="1"/>
    </xf>
    <xf borderId="8" fillId="3" fontId="8" numFmtId="0" xfId="0" applyAlignment="1" applyBorder="1" applyFill="1" applyFont="1">
      <alignment horizontal="right" shrinkToFit="0" vertical="center" wrapText="1"/>
    </xf>
    <xf borderId="7" fillId="3" fontId="8" numFmtId="0" xfId="0" applyAlignment="1" applyBorder="1" applyFill="1" applyFont="1">
      <alignment horizontal="right" shrinkToFit="0" vertical="center" wrapText="1"/>
    </xf>
    <xf borderId="7" fillId="3" fontId="8" numFmtId="0" xfId="0" applyAlignment="1" applyBorder="1" applyFill="1" applyFont="1">
      <alignment horizontal="left" shrinkToFit="0" vertical="center" wrapText="1"/>
    </xf>
    <xf borderId="5" fillId="2" fontId="5" numFmtId="0" xfId="0" applyAlignment="1" applyBorder="1" applyFill="1" applyFont="1">
      <alignment shrinkToFit="0" vertical="center" wrapText="1"/>
    </xf>
    <xf borderId="5" fillId="2" fontId="5" numFmtId="0" xfId="0" applyAlignment="1" applyBorder="1" applyFill="1" applyFont="1">
      <alignment horizontal="right" shrinkToFit="0" vertical="center" wrapText="1"/>
    </xf>
    <xf borderId="5" fillId="2" fontId="7" numFmtId="0" xfId="0" applyAlignment="1" applyBorder="1" applyFill="1" applyFont="1">
      <alignment shrinkToFit="0" vertical="center" wrapText="1"/>
    </xf>
    <xf borderId="9" fillId="3" fontId="8" numFmtId="0" xfId="0" applyAlignment="1" applyBorder="1" applyFill="1" applyFont="1">
      <alignment shrinkToFit="0" vertical="center" wrapText="1"/>
    </xf>
    <xf borderId="9" fillId="3" fontId="8" numFmtId="20" xfId="0" applyAlignment="1" applyBorder="1" applyFill="1" applyFont="1" applyNumberFormat="1">
      <alignment shrinkToFit="0" vertical="center" wrapText="1"/>
    </xf>
    <xf borderId="1" fillId="0" fontId="9" numFmtId="0" xfId="0" applyAlignment="1" applyBorder="1" applyFont="1">
      <alignment horizontal="right" vertical="bottom"/>
    </xf>
    <xf borderId="9" fillId="3" fontId="8" numFmtId="0" xfId="0" applyAlignment="1" applyBorder="1" applyFill="1" applyFont="1">
      <alignment horizontal="right" shrinkToFit="0" vertical="center" wrapText="1"/>
    </xf>
    <xf borderId="10" fillId="3" fontId="8" numFmtId="0" xfId="0" applyAlignment="1" applyBorder="1" applyFill="1" applyFont="1">
      <alignment shrinkToFit="0" vertical="center" wrapText="1"/>
    </xf>
    <xf borderId="2" fillId="3" fontId="8" numFmtId="0" xfId="0" applyAlignment="1" applyBorder="1" applyFill="1" applyFont="1">
      <alignment shrinkToFit="0" vertical="center" wrapText="1"/>
    </xf>
    <xf borderId="2" fillId="3" fontId="8" numFmtId="20" xfId="0" applyAlignment="1" applyBorder="1" applyFill="1" applyFont="1" applyNumberFormat="1">
      <alignment shrinkToFit="0" vertical="center" wrapText="1"/>
    </xf>
    <xf borderId="2" fillId="3" fontId="8" numFmtId="0" xfId="0" applyAlignment="1" applyBorder="1" applyFill="1" applyFont="1">
      <alignment horizontal="right" shrinkToFit="0" vertical="center" wrapText="1"/>
    </xf>
    <xf borderId="1" fillId="0" fontId="9" numFmtId="0" xfId="0" applyAlignment="1" applyBorder="1" applyFont="1">
      <alignment horizontal="center" vertical="bottom"/>
    </xf>
    <xf borderId="2" fillId="3" fontId="8" numFmtId="0" xfId="0" applyAlignment="1" applyBorder="1" applyFill="1" applyFont="1">
      <alignment horizontal="left" shrinkToFit="0" vertical="center" wrapText="1"/>
    </xf>
    <xf borderId="8" fillId="3" fontId="10" numFmtId="0" xfId="0" applyAlignment="1" applyBorder="1" applyFill="1" applyFont="1">
      <alignment shrinkToFit="0" vertical="center" wrapText="1"/>
    </xf>
    <xf borderId="8" fillId="3" fontId="8" numFmtId="20" xfId="0" applyAlignment="1" applyBorder="1" applyFill="1" applyFont="1" applyNumberFormat="1">
      <alignment shrinkToFit="0" vertical="center" wrapText="1"/>
    </xf>
    <xf borderId="11" fillId="3" fontId="8" numFmtId="0" xfId="0" applyAlignment="1" applyBorder="1" applyFill="1" applyFont="1">
      <alignment shrinkToFit="0" vertical="center" wrapText="1"/>
    </xf>
    <xf borderId="2" fillId="3" fontId="10" numFmtId="0" xfId="0" applyAlignment="1" applyBorder="1" applyFill="1" applyFont="1">
      <alignment shrinkToFit="0" vertical="center" wrapText="1"/>
    </xf>
    <xf borderId="0" fillId="4" fontId="11" numFmtId="0" xfId="0" applyAlignment="1" applyFill="1" applyFont="1">
      <alignment horizontal="right"/>
    </xf>
    <xf borderId="5" fillId="2" fontId="12" numFmtId="0" xfId="0" applyAlignment="1" applyBorder="1" applyFill="1" applyFont="1">
      <alignment shrinkToFit="0" vertical="center" wrapText="1"/>
    </xf>
    <xf borderId="2" fillId="2" fontId="12" numFmtId="0" xfId="0" applyAlignment="1" applyBorder="1" applyFill="1" applyFont="1">
      <alignment shrinkToFit="0" vertical="center" wrapText="1"/>
    </xf>
    <xf borderId="2" fillId="2" fontId="5" numFmtId="20" xfId="0" applyAlignment="1" applyBorder="1" applyFill="1" applyFont="1" applyNumberFormat="1">
      <alignment shrinkToFit="0" vertical="center" wrapText="1"/>
    </xf>
    <xf borderId="2" fillId="2" fontId="5" numFmtId="0" xfId="0" applyAlignment="1" applyBorder="1" applyFill="1" applyFont="1">
      <alignment horizontal="right" shrinkToFit="0" vertical="center" wrapText="1"/>
    </xf>
    <xf borderId="0" fillId="0" fontId="3" numFmtId="0" xfId="0" applyFont="1"/>
    <xf borderId="12" fillId="3" fontId="8" numFmtId="0" xfId="0" applyAlignment="1" applyBorder="1" applyFill="1" applyFont="1">
      <alignment shrinkToFit="0" vertical="center" wrapText="1"/>
    </xf>
    <xf borderId="7" fillId="3" fontId="10" numFmtId="0" xfId="0" applyAlignment="1" applyBorder="1" applyFill="1" applyFont="1">
      <alignment shrinkToFit="0" vertical="center" wrapText="1"/>
    </xf>
    <xf borderId="9" fillId="3" fontId="10" numFmtId="0" xfId="0" applyAlignment="1" applyBorder="1" applyFill="1" applyFont="1">
      <alignment shrinkToFit="0" vertical="center" wrapText="1"/>
    </xf>
    <xf borderId="10" fillId="3" fontId="13" numFmtId="0" xfId="0" applyAlignment="1" applyBorder="1" applyFill="1" applyFont="1">
      <alignment shrinkToFit="0" vertical="center" wrapText="1"/>
    </xf>
    <xf borderId="2" fillId="3" fontId="13" numFmtId="0" xfId="0" applyAlignment="1" applyBorder="1" applyFill="1" applyFont="1">
      <alignment shrinkToFit="0" vertical="center" wrapText="1"/>
    </xf>
    <xf borderId="2" fillId="3" fontId="13" numFmtId="20" xfId="0" applyAlignment="1" applyBorder="1" applyFill="1" applyFont="1" applyNumberFormat="1">
      <alignment shrinkToFit="0" vertical="center" wrapText="1"/>
    </xf>
    <xf borderId="2" fillId="3" fontId="13" numFmtId="0" xfId="0" applyAlignment="1" applyBorder="1" applyFill="1" applyFont="1">
      <alignment horizontal="right" shrinkToFit="0" vertical="center" wrapText="1"/>
    </xf>
    <xf borderId="2" fillId="3" fontId="13" numFmtId="0" xfId="0" applyAlignment="1" applyBorder="1" applyFill="1" applyFont="1">
      <alignment horizontal="left" shrinkToFit="0" vertical="center" wrapText="1"/>
    </xf>
    <xf borderId="8" fillId="3" fontId="13" numFmtId="0" xfId="0" applyAlignment="1" applyBorder="1" applyFill="1" applyFont="1">
      <alignment shrinkToFit="0" vertical="center" wrapText="1"/>
    </xf>
    <xf borderId="8" fillId="3" fontId="14" numFmtId="0" xfId="0" applyAlignment="1" applyBorder="1" applyFill="1" applyFont="1">
      <alignment shrinkToFit="0" vertical="center" wrapText="1"/>
    </xf>
    <xf borderId="8" fillId="3" fontId="13" numFmtId="20" xfId="0" applyAlignment="1" applyBorder="1" applyFill="1" applyFont="1" applyNumberFormat="1">
      <alignment shrinkToFit="0" vertical="center" wrapText="1"/>
    </xf>
    <xf borderId="11" fillId="3" fontId="13" numFmtId="0" xfId="0" applyAlignment="1" applyBorder="1" applyFill="1" applyFont="1">
      <alignment shrinkToFit="0" vertical="center" wrapText="1"/>
    </xf>
    <xf borderId="2" fillId="3" fontId="14" numFmtId="0" xfId="0" applyAlignment="1" applyBorder="1" applyFill="1" applyFont="1">
      <alignment shrinkToFit="0" vertical="center" wrapText="1"/>
    </xf>
    <xf borderId="7" fillId="3" fontId="13" numFmtId="0" xfId="0" applyAlignment="1" applyBorder="1" applyFill="1" applyFont="1">
      <alignment shrinkToFit="0" vertical="center" wrapText="1"/>
    </xf>
    <xf borderId="7" fillId="3" fontId="13" numFmtId="20" xfId="0" applyAlignment="1" applyBorder="1" applyFill="1" applyFont="1" applyNumberFormat="1">
      <alignment shrinkToFit="0" vertical="center" wrapText="1"/>
    </xf>
    <xf borderId="8" fillId="3" fontId="13" numFmtId="0" xfId="0" applyAlignment="1" applyBorder="1" applyFill="1" applyFont="1">
      <alignment horizontal="right" shrinkToFit="0" vertical="center" wrapText="1"/>
    </xf>
    <xf borderId="7" fillId="3" fontId="13" numFmtId="0" xfId="0" applyAlignment="1" applyBorder="1" applyFill="1" applyFont="1">
      <alignment horizontal="right" shrinkToFit="0" vertical="center" wrapText="1"/>
    </xf>
    <xf borderId="8" fillId="0" fontId="3" numFmtId="0" xfId="0" applyBorder="1" applyFont="1"/>
    <xf borderId="8" fillId="0" fontId="15" numFmtId="0" xfId="0" applyBorder="1" applyFont="1"/>
    <xf borderId="1" fillId="0" fontId="16" numFmtId="0" xfId="0" applyBorder="1" applyFont="1"/>
    <xf borderId="13" fillId="0" fontId="9" numFmtId="0" xfId="0" applyBorder="1" applyFont="1"/>
    <xf borderId="13" fillId="0" fontId="9" numFmtId="0" xfId="0" applyAlignment="1" applyBorder="1" applyFont="1">
      <alignment horizontal="center" vertical="bottom"/>
    </xf>
    <xf borderId="0" fillId="5" fontId="9" numFmtId="0" xfId="0" applyFill="1" applyFont="1"/>
    <xf borderId="0" fillId="0" fontId="9" numFmtId="0" xfId="0" applyFont="1"/>
    <xf borderId="0" fillId="0" fontId="9" numFmtId="0" xfId="0" applyAlignment="1" applyFont="1">
      <alignment horizontal="center" vertical="bottom"/>
    </xf>
    <xf borderId="7" fillId="5" fontId="9" numFmtId="0" xfId="0" applyBorder="1" applyFill="1" applyFont="1"/>
    <xf borderId="7" fillId="0" fontId="9" numFmtId="0" xfId="0" applyBorder="1" applyFont="1"/>
    <xf borderId="14" fillId="0" fontId="9" numFmtId="0" xfId="0" applyBorder="1" applyFont="1"/>
    <xf borderId="15" fillId="0" fontId="9" numFmtId="0" xfId="0" applyBorder="1" applyFont="1"/>
    <xf borderId="15" fillId="0" fontId="9" numFmtId="0" xfId="0" applyAlignment="1" applyBorder="1" applyFont="1">
      <alignment horizontal="center" vertical="bottom"/>
    </xf>
    <xf borderId="16" fillId="0" fontId="9" numFmtId="0" xfId="0" applyBorder="1" applyFont="1"/>
    <xf borderId="17" fillId="0" fontId="9" numFmtId="0" xfId="0" applyBorder="1" applyFont="1"/>
    <xf borderId="13" fillId="0" fontId="9" numFmtId="0" xfId="0" applyAlignment="1" applyBorder="1" applyFont="1">
      <alignment horizontal="right" vertical="bottom"/>
    </xf>
    <xf borderId="7" fillId="0" fontId="3" numFmtId="0" xfId="0" applyBorder="1" applyFont="1"/>
  </cellXfs>
  <cellStyles count="1">
    <cellStyle xfId="0" name="Normal" builtinId="0"/>
  </cellStyles>
  <dxfs count="7">
    <dxf>
      <font>
        <b/>
        <color rgb="FFFF0000"/>
      </font>
      <fill>
        <patternFill patternType="none"/>
      </fill>
      <border/>
    </dxf>
    <dxf>
      <font>
        <b/>
        <i/>
        <color rgb="FF0000FF"/>
      </font>
      <fill>
        <patternFill patternType="solid">
          <fgColor rgb="FFF4CCCC"/>
          <bgColor rgb="FFF4CCCC"/>
        </patternFill>
      </fill>
      <border/>
    </dxf>
    <dxf>
      <font>
        <b/>
        <i/>
        <color rgb="FF0000FF"/>
      </font>
      <fill>
        <patternFill patternType="solid">
          <fgColor rgb="FFD9EAD3"/>
          <bgColor rgb="FFD9EAD3"/>
        </patternFill>
      </fill>
      <border/>
    </dxf>
    <dxf>
      <font>
        <b/>
        <i/>
        <color rgb="FF0000FF"/>
      </font>
      <fill>
        <patternFill patternType="solid">
          <fgColor rgb="FFCFE2F3"/>
          <bgColor rgb="FFCFE2F3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CFE2F3"/>
          <bgColor rgb="FFCFE2F3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13"/>
    <col customWidth="1" min="2" max="2" width="9.38"/>
    <col customWidth="1" min="3" max="3" width="6.63"/>
    <col customWidth="1" min="4" max="4" width="5.88"/>
    <col customWidth="1" min="5" max="5" width="10.38"/>
    <col customWidth="1" min="6" max="6" width="41.25"/>
    <col customWidth="1" min="7" max="7" width="11.38"/>
    <col customWidth="1" min="8" max="8" width="36.5"/>
  </cols>
  <sheetData>
    <row r="1" ht="21.75" customHeight="1">
      <c r="A1" s="2" t="s">
        <v>0</v>
      </c>
      <c r="B1" s="3" t="s">
        <v>6</v>
      </c>
      <c r="C1" s="5" t="s">
        <v>7</v>
      </c>
      <c r="D1" s="5" t="s">
        <v>9</v>
      </c>
      <c r="E1" s="3" t="s">
        <v>10</v>
      </c>
      <c r="F1" s="3" t="s">
        <v>11</v>
      </c>
      <c r="G1" s="5" t="s">
        <v>12</v>
      </c>
      <c r="H1" s="3" t="s">
        <v>13</v>
      </c>
    </row>
    <row r="2" ht="21.75" customHeight="1">
      <c r="A2" s="2"/>
      <c r="B2" s="6"/>
      <c r="C2" s="6"/>
      <c r="D2" s="6"/>
      <c r="E2" s="6"/>
      <c r="F2" s="6"/>
      <c r="G2" s="6"/>
      <c r="H2" s="6"/>
    </row>
    <row r="3" ht="15.75" customHeight="1">
      <c r="A3" s="6"/>
      <c r="B3" s="6"/>
      <c r="C3" s="6"/>
      <c r="D3" s="6"/>
      <c r="E3" s="6"/>
      <c r="F3" s="6"/>
      <c r="G3" s="6"/>
      <c r="H3" s="7"/>
    </row>
    <row r="4" ht="24.0" customHeight="1">
      <c r="A4" s="8"/>
      <c r="B4" s="9" t="s">
        <v>14</v>
      </c>
      <c r="C4" s="10"/>
      <c r="D4" s="10"/>
      <c r="E4" s="11"/>
      <c r="F4" s="12"/>
      <c r="G4" s="13"/>
      <c r="H4" s="13"/>
    </row>
    <row r="5" ht="18.0" customHeight="1">
      <c r="A5" s="14" t="s">
        <v>15</v>
      </c>
      <c r="B5" s="14" t="s">
        <v>16</v>
      </c>
      <c r="C5" s="16">
        <v>0.4375</v>
      </c>
      <c r="D5" s="16">
        <v>0.5208333333333334</v>
      </c>
      <c r="E5" s="14" t="s">
        <v>17</v>
      </c>
      <c r="F5" s="17" t="s">
        <v>18</v>
      </c>
      <c r="G5" s="18">
        <v>40.0</v>
      </c>
      <c r="H5" s="17" t="s">
        <v>19</v>
      </c>
    </row>
    <row r="6" ht="18.0" customHeight="1">
      <c r="A6" s="14" t="s">
        <v>15</v>
      </c>
      <c r="B6" s="14" t="s">
        <v>16</v>
      </c>
      <c r="C6" s="16">
        <v>0.4375</v>
      </c>
      <c r="D6" s="16">
        <v>0.5208333333333334</v>
      </c>
      <c r="E6" s="14" t="s">
        <v>20</v>
      </c>
      <c r="F6" s="14" t="s">
        <v>18</v>
      </c>
      <c r="G6" s="19">
        <v>39.0</v>
      </c>
      <c r="H6" s="14" t="s">
        <v>21</v>
      </c>
    </row>
    <row r="7" ht="18.0" customHeight="1">
      <c r="A7" s="14" t="s">
        <v>15</v>
      </c>
      <c r="B7" s="14" t="s">
        <v>16</v>
      </c>
      <c r="C7" s="16">
        <v>0.4375</v>
      </c>
      <c r="D7" s="16">
        <v>0.5208333333333334</v>
      </c>
      <c r="E7" s="14" t="s">
        <v>22</v>
      </c>
      <c r="F7" s="14" t="s">
        <v>23</v>
      </c>
      <c r="G7" s="19">
        <v>31.0</v>
      </c>
      <c r="H7" s="20" t="s">
        <v>24</v>
      </c>
    </row>
    <row r="8" ht="18.0" customHeight="1">
      <c r="A8" s="14" t="s">
        <v>15</v>
      </c>
      <c r="B8" s="14" t="s">
        <v>16</v>
      </c>
      <c r="C8" s="16">
        <v>0.4375</v>
      </c>
      <c r="D8" s="16">
        <v>0.5208333333333334</v>
      </c>
      <c r="E8" s="14" t="s">
        <v>25</v>
      </c>
      <c r="F8" s="14" t="s">
        <v>26</v>
      </c>
      <c r="G8" s="19">
        <v>42.0</v>
      </c>
      <c r="H8" s="20" t="s">
        <v>27</v>
      </c>
    </row>
    <row r="9" ht="18.0" customHeight="1">
      <c r="A9" s="14" t="s">
        <v>15</v>
      </c>
      <c r="B9" s="14" t="s">
        <v>16</v>
      </c>
      <c r="C9" s="16">
        <v>0.4375</v>
      </c>
      <c r="D9" s="16">
        <v>0.5208333333333334</v>
      </c>
      <c r="E9" s="14" t="s">
        <v>28</v>
      </c>
      <c r="F9" s="14" t="s">
        <v>29</v>
      </c>
      <c r="G9" s="19">
        <v>40.0</v>
      </c>
      <c r="H9" s="14" t="s">
        <v>30</v>
      </c>
    </row>
    <row r="10" ht="18.0" customHeight="1">
      <c r="A10" s="14" t="s">
        <v>15</v>
      </c>
      <c r="B10" s="14" t="s">
        <v>16</v>
      </c>
      <c r="C10" s="16">
        <v>0.4375</v>
      </c>
      <c r="D10" s="16">
        <v>0.5208333333333334</v>
      </c>
      <c r="E10" s="14" t="s">
        <v>31</v>
      </c>
      <c r="F10" s="14" t="s">
        <v>32</v>
      </c>
      <c r="G10" s="19">
        <v>31.0</v>
      </c>
      <c r="H10" s="14" t="s">
        <v>33</v>
      </c>
    </row>
    <row r="11" ht="18.0" customHeight="1">
      <c r="A11" s="14" t="s">
        <v>15</v>
      </c>
      <c r="B11" s="14" t="s">
        <v>16</v>
      </c>
      <c r="C11" s="16">
        <v>0.4375</v>
      </c>
      <c r="D11" s="16">
        <v>0.5208333333333334</v>
      </c>
      <c r="E11" s="14" t="s">
        <v>34</v>
      </c>
      <c r="F11" s="14" t="s">
        <v>35</v>
      </c>
      <c r="G11" s="19">
        <v>39.0</v>
      </c>
      <c r="H11" s="14" t="s">
        <v>36</v>
      </c>
    </row>
    <row r="12" ht="18.0" customHeight="1">
      <c r="A12" s="14" t="s">
        <v>15</v>
      </c>
      <c r="B12" s="14" t="s">
        <v>16</v>
      </c>
      <c r="C12" s="16">
        <v>0.4375</v>
      </c>
      <c r="D12" s="16">
        <v>0.5208333333333334</v>
      </c>
      <c r="E12" s="14" t="s">
        <v>37</v>
      </c>
      <c r="F12" s="14" t="s">
        <v>38</v>
      </c>
      <c r="G12" s="19">
        <v>35.0</v>
      </c>
      <c r="H12" s="14" t="s">
        <v>39</v>
      </c>
    </row>
    <row r="13" ht="18.0" customHeight="1">
      <c r="A13" s="8"/>
      <c r="B13" s="21"/>
      <c r="C13" s="10"/>
      <c r="D13" s="10"/>
      <c r="E13" s="21"/>
      <c r="F13" s="21"/>
      <c r="G13" s="22">
        <v>297.0</v>
      </c>
      <c r="H13" s="21"/>
    </row>
    <row r="14" ht="24.0" customHeight="1">
      <c r="A14" s="8"/>
      <c r="B14" s="9" t="s">
        <v>14</v>
      </c>
      <c r="C14" s="10"/>
      <c r="D14" s="10"/>
      <c r="E14" s="21"/>
      <c r="F14" s="23"/>
      <c r="G14" s="22"/>
      <c r="H14" s="21"/>
    </row>
    <row r="15" ht="18.0" customHeight="1">
      <c r="A15" s="14" t="s">
        <v>40</v>
      </c>
      <c r="B15" s="14" t="s">
        <v>16</v>
      </c>
      <c r="C15" s="16">
        <v>0.5625</v>
      </c>
      <c r="D15" s="16">
        <v>0.6458333333333334</v>
      </c>
      <c r="E15" s="14" t="s">
        <v>41</v>
      </c>
      <c r="F15" s="14" t="s">
        <v>42</v>
      </c>
      <c r="G15" s="19">
        <v>40.0</v>
      </c>
      <c r="H15" s="14" t="s">
        <v>43</v>
      </c>
    </row>
    <row r="16" ht="18.0" customHeight="1">
      <c r="A16" s="14" t="s">
        <v>40</v>
      </c>
      <c r="B16" s="14" t="s">
        <v>16</v>
      </c>
      <c r="C16" s="16">
        <v>0.5625</v>
      </c>
      <c r="D16" s="16">
        <v>0.6458333333333334</v>
      </c>
      <c r="E16" s="14" t="s">
        <v>44</v>
      </c>
      <c r="F16" s="14" t="s">
        <v>42</v>
      </c>
      <c r="G16" s="19">
        <v>38.0</v>
      </c>
      <c r="H16" s="14" t="s">
        <v>45</v>
      </c>
    </row>
    <row r="17" ht="18.0" customHeight="1">
      <c r="A17" s="14" t="s">
        <v>40</v>
      </c>
      <c r="B17" s="14" t="s">
        <v>16</v>
      </c>
      <c r="C17" s="16">
        <v>0.5625</v>
      </c>
      <c r="D17" s="16">
        <v>0.6458333333333334</v>
      </c>
      <c r="E17" s="14" t="s">
        <v>46</v>
      </c>
      <c r="F17" s="14" t="s">
        <v>47</v>
      </c>
      <c r="G17" s="19">
        <v>28.0</v>
      </c>
      <c r="H17" s="14" t="s">
        <v>48</v>
      </c>
    </row>
    <row r="18" ht="18.0" customHeight="1">
      <c r="A18" s="14" t="s">
        <v>40</v>
      </c>
      <c r="B18" s="14" t="s">
        <v>16</v>
      </c>
      <c r="C18" s="16">
        <v>0.5625</v>
      </c>
      <c r="D18" s="16">
        <v>0.6458333333333334</v>
      </c>
      <c r="E18" s="14" t="s">
        <v>49</v>
      </c>
      <c r="F18" s="14" t="s">
        <v>50</v>
      </c>
      <c r="G18" s="19">
        <v>42.0</v>
      </c>
      <c r="H18" s="14" t="s">
        <v>51</v>
      </c>
    </row>
    <row r="19" ht="18.0" customHeight="1">
      <c r="A19" s="14" t="s">
        <v>40</v>
      </c>
      <c r="B19" s="14" t="s">
        <v>16</v>
      </c>
      <c r="C19" s="16">
        <v>0.5625</v>
      </c>
      <c r="D19" s="16">
        <v>0.6458333333333334</v>
      </c>
      <c r="E19" s="14" t="s">
        <v>52</v>
      </c>
      <c r="F19" s="14" t="s">
        <v>53</v>
      </c>
      <c r="G19" s="19">
        <v>43.0</v>
      </c>
      <c r="H19" s="14" t="s">
        <v>54</v>
      </c>
    </row>
    <row r="20" ht="18.0" customHeight="1">
      <c r="A20" s="14" t="s">
        <v>40</v>
      </c>
      <c r="B20" s="14" t="s">
        <v>16</v>
      </c>
      <c r="C20" s="16">
        <v>0.5625</v>
      </c>
      <c r="D20" s="16">
        <v>0.6458333333333334</v>
      </c>
      <c r="E20" s="14" t="s">
        <v>55</v>
      </c>
      <c r="F20" s="14" t="s">
        <v>56</v>
      </c>
      <c r="G20" s="19">
        <v>36.0</v>
      </c>
      <c r="H20" s="14" t="s">
        <v>57</v>
      </c>
    </row>
    <row r="21" ht="18.0" customHeight="1">
      <c r="A21" s="24" t="s">
        <v>40</v>
      </c>
      <c r="B21" s="24" t="s">
        <v>16</v>
      </c>
      <c r="C21" s="25">
        <v>0.5625</v>
      </c>
      <c r="D21" s="25">
        <v>0.6458333333333334</v>
      </c>
      <c r="E21" s="24" t="s">
        <v>58</v>
      </c>
      <c r="F21" s="24" t="s">
        <v>59</v>
      </c>
      <c r="G21" s="27">
        <v>41.0</v>
      </c>
      <c r="H21" s="24" t="s">
        <v>60</v>
      </c>
    </row>
    <row r="22" ht="18.0" customHeight="1">
      <c r="A22" s="28" t="s">
        <v>40</v>
      </c>
      <c r="B22" s="29" t="s">
        <v>16</v>
      </c>
      <c r="C22" s="30">
        <v>0.5625</v>
      </c>
      <c r="D22" s="30">
        <v>0.6458333333333334</v>
      </c>
      <c r="E22" s="29" t="s">
        <v>61</v>
      </c>
      <c r="F22" s="29" t="s">
        <v>62</v>
      </c>
      <c r="G22" s="31">
        <v>40.0</v>
      </c>
      <c r="H22" s="33" t="s">
        <v>63</v>
      </c>
    </row>
    <row r="23" ht="18.0" customHeight="1">
      <c r="A23" s="17" t="s">
        <v>40</v>
      </c>
      <c r="B23" s="34" t="s">
        <v>16</v>
      </c>
      <c r="C23" s="35">
        <v>0.5625</v>
      </c>
      <c r="D23" s="35">
        <v>0.6458333333333334</v>
      </c>
      <c r="E23" s="36" t="s">
        <v>64</v>
      </c>
      <c r="F23" s="37" t="s">
        <v>56</v>
      </c>
      <c r="G23" s="29">
        <v>1.0</v>
      </c>
      <c r="H23" s="29" t="s">
        <v>57</v>
      </c>
    </row>
    <row r="24" ht="18.0" customHeight="1">
      <c r="A24" s="14" t="s">
        <v>40</v>
      </c>
      <c r="B24" s="14" t="s">
        <v>16</v>
      </c>
      <c r="C24" s="16">
        <v>0.5625</v>
      </c>
      <c r="D24" s="16">
        <v>0.6458333333333334</v>
      </c>
      <c r="E24" s="14" t="s">
        <v>65</v>
      </c>
      <c r="F24" s="17" t="s">
        <v>66</v>
      </c>
      <c r="G24" s="18">
        <v>42.0</v>
      </c>
      <c r="H24" s="17" t="s">
        <v>67</v>
      </c>
    </row>
    <row r="25" ht="18.0" customHeight="1">
      <c r="A25" s="14" t="s">
        <v>40</v>
      </c>
      <c r="B25" s="14" t="s">
        <v>16</v>
      </c>
      <c r="C25" s="16">
        <v>0.5625</v>
      </c>
      <c r="D25" s="16">
        <v>0.6458333333333334</v>
      </c>
      <c r="E25" s="14" t="s">
        <v>68</v>
      </c>
      <c r="F25" s="14" t="s">
        <v>69</v>
      </c>
      <c r="G25" s="19">
        <v>41.0</v>
      </c>
      <c r="H25" s="14" t="s">
        <v>70</v>
      </c>
    </row>
    <row r="26" ht="18.0" customHeight="1">
      <c r="A26" s="14" t="s">
        <v>40</v>
      </c>
      <c r="B26" s="14" t="s">
        <v>16</v>
      </c>
      <c r="C26" s="16">
        <v>0.5625</v>
      </c>
      <c r="D26" s="16">
        <v>0.6458333333333334</v>
      </c>
      <c r="E26" s="14" t="s">
        <v>71</v>
      </c>
      <c r="F26" s="14" t="s">
        <v>72</v>
      </c>
      <c r="G26" s="19">
        <v>40.0</v>
      </c>
      <c r="H26" s="14" t="s">
        <v>73</v>
      </c>
    </row>
    <row r="27" ht="18.0" customHeight="1">
      <c r="A27" s="14" t="s">
        <v>40</v>
      </c>
      <c r="B27" s="14" t="s">
        <v>16</v>
      </c>
      <c r="C27" s="16">
        <v>0.5625</v>
      </c>
      <c r="D27" s="16">
        <v>0.6458333333333334</v>
      </c>
      <c r="E27" s="14" t="s">
        <v>74</v>
      </c>
      <c r="F27" s="14" t="s">
        <v>75</v>
      </c>
      <c r="G27" s="19">
        <v>22.0</v>
      </c>
      <c r="H27" s="14" t="s">
        <v>76</v>
      </c>
    </row>
    <row r="28" ht="18.0" customHeight="1">
      <c r="A28" s="14" t="s">
        <v>40</v>
      </c>
      <c r="B28" s="14" t="s">
        <v>16</v>
      </c>
      <c r="C28" s="16">
        <v>0.5625</v>
      </c>
      <c r="D28" s="16">
        <v>0.6458333333333334</v>
      </c>
      <c r="E28" s="14" t="s">
        <v>77</v>
      </c>
      <c r="F28" s="14" t="s">
        <v>78</v>
      </c>
      <c r="G28" s="19">
        <v>15.0</v>
      </c>
      <c r="H28" s="14" t="s">
        <v>79</v>
      </c>
    </row>
    <row r="29" ht="18.0" customHeight="1">
      <c r="A29" s="8"/>
      <c r="B29" s="21"/>
      <c r="C29" s="10"/>
      <c r="D29" s="10"/>
      <c r="E29" s="21"/>
      <c r="F29" s="21"/>
      <c r="G29" s="22">
        <v>469.0</v>
      </c>
      <c r="H29" s="21"/>
    </row>
    <row r="30" ht="24.0" customHeight="1">
      <c r="A30" s="8"/>
      <c r="B30" s="9" t="s">
        <v>14</v>
      </c>
      <c r="C30" s="10"/>
      <c r="D30" s="10"/>
      <c r="E30" s="21"/>
      <c r="F30" s="23"/>
      <c r="G30" s="22"/>
      <c r="H30" s="21"/>
    </row>
    <row r="31" ht="18.0" customHeight="1">
      <c r="A31" s="14" t="s">
        <v>80</v>
      </c>
      <c r="B31" s="14" t="s">
        <v>16</v>
      </c>
      <c r="C31" s="16">
        <v>0.6875</v>
      </c>
      <c r="D31" s="16">
        <v>0.7708333333333334</v>
      </c>
      <c r="E31" s="14" t="s">
        <v>81</v>
      </c>
      <c r="F31" s="14" t="s">
        <v>82</v>
      </c>
      <c r="G31" s="19">
        <v>29.0</v>
      </c>
      <c r="H31" s="14" t="s">
        <v>83</v>
      </c>
    </row>
    <row r="32" ht="18.0" customHeight="1">
      <c r="A32" s="14" t="s">
        <v>80</v>
      </c>
      <c r="B32" s="14" t="s">
        <v>16</v>
      </c>
      <c r="C32" s="16">
        <v>0.6875</v>
      </c>
      <c r="D32" s="16">
        <v>0.7708333333333334</v>
      </c>
      <c r="E32" s="14" t="s">
        <v>84</v>
      </c>
      <c r="F32" s="14" t="s">
        <v>56</v>
      </c>
      <c r="G32" s="19">
        <v>42.0</v>
      </c>
      <c r="H32" s="14" t="s">
        <v>85</v>
      </c>
    </row>
    <row r="33" ht="18.0" customHeight="1">
      <c r="A33" s="14" t="s">
        <v>80</v>
      </c>
      <c r="B33" s="14" t="s">
        <v>16</v>
      </c>
      <c r="C33" s="16">
        <v>0.6875</v>
      </c>
      <c r="D33" s="16">
        <v>0.7708333333333334</v>
      </c>
      <c r="E33" s="14" t="s">
        <v>86</v>
      </c>
      <c r="F33" s="14" t="s">
        <v>87</v>
      </c>
      <c r="G33" s="19">
        <v>34.0</v>
      </c>
      <c r="H33" s="14" t="s">
        <v>70</v>
      </c>
    </row>
    <row r="34" ht="18.0" customHeight="1">
      <c r="A34" s="8"/>
      <c r="B34" s="21"/>
      <c r="C34" s="10"/>
      <c r="D34" s="10"/>
      <c r="E34" s="21"/>
      <c r="F34" s="21"/>
      <c r="G34" s="22">
        <v>105.0</v>
      </c>
      <c r="H34" s="21"/>
    </row>
    <row r="35" ht="24.0" customHeight="1">
      <c r="A35" s="8"/>
      <c r="B35" s="9" t="s">
        <v>88</v>
      </c>
      <c r="C35" s="10"/>
      <c r="D35" s="10"/>
      <c r="E35" s="21"/>
      <c r="F35" s="23"/>
      <c r="G35" s="22"/>
      <c r="H35" s="21"/>
    </row>
    <row r="36" ht="18.0" customHeight="1">
      <c r="A36" s="14" t="s">
        <v>89</v>
      </c>
      <c r="B36" s="14" t="s">
        <v>90</v>
      </c>
      <c r="C36" s="16">
        <v>0.375</v>
      </c>
      <c r="D36" s="16">
        <v>0.4583333333333333</v>
      </c>
      <c r="E36" s="14" t="s">
        <v>91</v>
      </c>
      <c r="F36" s="14" t="s">
        <v>92</v>
      </c>
      <c r="G36" s="19">
        <v>39.0</v>
      </c>
      <c r="H36" s="14" t="s">
        <v>93</v>
      </c>
    </row>
    <row r="37" ht="18.0" customHeight="1">
      <c r="A37" s="14" t="s">
        <v>89</v>
      </c>
      <c r="B37" s="14" t="s">
        <v>90</v>
      </c>
      <c r="C37" s="16">
        <v>0.375</v>
      </c>
      <c r="D37" s="16">
        <v>0.4583333333333333</v>
      </c>
      <c r="E37" s="14" t="s">
        <v>94</v>
      </c>
      <c r="F37" s="14" t="s">
        <v>92</v>
      </c>
      <c r="G37" s="19">
        <v>40.0</v>
      </c>
      <c r="H37" s="14" t="s">
        <v>93</v>
      </c>
    </row>
    <row r="38" ht="18.0" customHeight="1">
      <c r="A38" s="14" t="s">
        <v>89</v>
      </c>
      <c r="B38" s="14" t="s">
        <v>90</v>
      </c>
      <c r="C38" s="16">
        <v>0.375</v>
      </c>
      <c r="D38" s="16">
        <v>0.4583333333333333</v>
      </c>
      <c r="E38" s="14" t="s">
        <v>95</v>
      </c>
      <c r="F38" s="14" t="s">
        <v>53</v>
      </c>
      <c r="G38" s="19">
        <v>20.0</v>
      </c>
      <c r="H38" s="14" t="s">
        <v>96</v>
      </c>
    </row>
    <row r="39" ht="18.0" customHeight="1">
      <c r="A39" s="14" t="s">
        <v>89</v>
      </c>
      <c r="B39" s="14" t="s">
        <v>90</v>
      </c>
      <c r="C39" s="16">
        <v>0.375</v>
      </c>
      <c r="D39" s="16">
        <v>0.4583333333333333</v>
      </c>
      <c r="E39" s="14" t="s">
        <v>97</v>
      </c>
      <c r="F39" s="14" t="s">
        <v>53</v>
      </c>
      <c r="G39" s="19">
        <v>38.0</v>
      </c>
      <c r="H39" s="14" t="s">
        <v>96</v>
      </c>
    </row>
    <row r="40" ht="18.0" customHeight="1">
      <c r="A40" s="24" t="s">
        <v>89</v>
      </c>
      <c r="B40" s="24" t="s">
        <v>90</v>
      </c>
      <c r="C40" s="25">
        <v>0.375</v>
      </c>
      <c r="D40" s="25">
        <v>0.4583333333333333</v>
      </c>
      <c r="E40" s="24" t="s">
        <v>98</v>
      </c>
      <c r="F40" s="24" t="s">
        <v>53</v>
      </c>
      <c r="G40" s="27">
        <v>24.0</v>
      </c>
      <c r="H40" s="24" t="s">
        <v>96</v>
      </c>
    </row>
    <row r="41" ht="18.0" customHeight="1">
      <c r="A41" s="28" t="s">
        <v>89</v>
      </c>
      <c r="B41" s="29" t="s">
        <v>90</v>
      </c>
      <c r="C41" s="30">
        <v>0.375</v>
      </c>
      <c r="D41" s="30">
        <v>0.4583333333333333</v>
      </c>
      <c r="E41" s="29" t="s">
        <v>99</v>
      </c>
      <c r="F41" s="29" t="s">
        <v>100</v>
      </c>
      <c r="G41" s="31">
        <v>38.0</v>
      </c>
      <c r="H41" s="33" t="s">
        <v>101</v>
      </c>
    </row>
    <row r="42" ht="18.0" customHeight="1">
      <c r="A42" s="17" t="s">
        <v>89</v>
      </c>
      <c r="B42" s="34" t="s">
        <v>90</v>
      </c>
      <c r="C42" s="35">
        <v>0.375</v>
      </c>
      <c r="D42" s="35">
        <v>0.4583333333333333</v>
      </c>
      <c r="E42" s="36" t="s">
        <v>102</v>
      </c>
      <c r="F42" s="37" t="s">
        <v>100</v>
      </c>
      <c r="G42" s="29">
        <v>39.0</v>
      </c>
      <c r="H42" s="29" t="s">
        <v>103</v>
      </c>
    </row>
    <row r="43" ht="18.0" customHeight="1">
      <c r="A43" s="14" t="s">
        <v>89</v>
      </c>
      <c r="B43" s="14" t="s">
        <v>90</v>
      </c>
      <c r="C43" s="16">
        <v>0.375</v>
      </c>
      <c r="D43" s="16">
        <v>0.4583333333333333</v>
      </c>
      <c r="E43" s="14" t="s">
        <v>104</v>
      </c>
      <c r="F43" s="17" t="s">
        <v>100</v>
      </c>
      <c r="G43" s="18">
        <v>39.0</v>
      </c>
      <c r="H43" s="17" t="s">
        <v>103</v>
      </c>
    </row>
    <row r="44" ht="18.0" customHeight="1">
      <c r="A44" s="14" t="s">
        <v>89</v>
      </c>
      <c r="B44" s="14" t="s">
        <v>90</v>
      </c>
      <c r="C44" s="16">
        <v>0.375</v>
      </c>
      <c r="D44" s="16">
        <v>0.4583333333333333</v>
      </c>
      <c r="E44" s="14" t="s">
        <v>105</v>
      </c>
      <c r="F44" s="14" t="s">
        <v>106</v>
      </c>
      <c r="G44" s="19">
        <v>40.0</v>
      </c>
      <c r="H44" s="14" t="s">
        <v>107</v>
      </c>
    </row>
    <row r="45" ht="18.0" customHeight="1">
      <c r="A45" s="14" t="s">
        <v>89</v>
      </c>
      <c r="B45" s="14" t="s">
        <v>90</v>
      </c>
      <c r="C45" s="16">
        <v>0.375</v>
      </c>
      <c r="D45" s="16">
        <v>0.4583333333333333</v>
      </c>
      <c r="E45" s="14" t="s">
        <v>108</v>
      </c>
      <c r="F45" s="14" t="s">
        <v>109</v>
      </c>
      <c r="G45" s="19">
        <v>40.0</v>
      </c>
      <c r="H45" s="14" t="s">
        <v>110</v>
      </c>
    </row>
    <row r="46" ht="18.0" customHeight="1">
      <c r="A46" s="14" t="s">
        <v>89</v>
      </c>
      <c r="B46" s="14" t="s">
        <v>90</v>
      </c>
      <c r="C46" s="16">
        <v>0.375</v>
      </c>
      <c r="D46" s="16">
        <v>0.4583333333333333</v>
      </c>
      <c r="E46" s="14" t="s">
        <v>111</v>
      </c>
      <c r="F46" s="14" t="s">
        <v>109</v>
      </c>
      <c r="G46" s="19">
        <v>40.0</v>
      </c>
      <c r="H46" s="14" t="s">
        <v>110</v>
      </c>
    </row>
    <row r="47" ht="18.0" customHeight="1">
      <c r="A47" s="14" t="s">
        <v>89</v>
      </c>
      <c r="B47" s="14" t="s">
        <v>90</v>
      </c>
      <c r="C47" s="16">
        <v>0.375</v>
      </c>
      <c r="D47" s="16">
        <v>0.4583333333333333</v>
      </c>
      <c r="E47" s="14" t="s">
        <v>112</v>
      </c>
      <c r="F47" s="14" t="s">
        <v>113</v>
      </c>
      <c r="G47" s="19">
        <v>40.0</v>
      </c>
      <c r="H47" s="14" t="s">
        <v>114</v>
      </c>
    </row>
    <row r="48" ht="18.0" customHeight="1">
      <c r="A48" s="8"/>
      <c r="B48" s="21"/>
      <c r="C48" s="10"/>
      <c r="D48" s="10"/>
      <c r="E48" s="21"/>
      <c r="F48" s="21"/>
      <c r="G48" s="22">
        <v>437.0</v>
      </c>
      <c r="H48" s="21"/>
    </row>
    <row r="49" ht="24.0" customHeight="1">
      <c r="A49" s="8"/>
      <c r="B49" s="9" t="s">
        <v>88</v>
      </c>
      <c r="C49" s="10"/>
      <c r="D49" s="10"/>
      <c r="E49" s="21"/>
      <c r="F49" s="23"/>
      <c r="G49" s="22"/>
      <c r="H49" s="21"/>
    </row>
    <row r="50" ht="18.0" customHeight="1">
      <c r="A50" s="14" t="s">
        <v>115</v>
      </c>
      <c r="B50" s="14" t="s">
        <v>90</v>
      </c>
      <c r="C50" s="16">
        <v>0.5</v>
      </c>
      <c r="D50" s="16">
        <v>0.5833333333333334</v>
      </c>
      <c r="E50" s="14" t="s">
        <v>116</v>
      </c>
      <c r="F50" s="14" t="s">
        <v>82</v>
      </c>
      <c r="G50" s="19">
        <v>39.0</v>
      </c>
      <c r="H50" s="14" t="s">
        <v>19</v>
      </c>
    </row>
    <row r="51" ht="18.0" customHeight="1">
      <c r="A51" s="14" t="s">
        <v>115</v>
      </c>
      <c r="B51" s="14" t="s">
        <v>90</v>
      </c>
      <c r="C51" s="16">
        <v>0.5</v>
      </c>
      <c r="D51" s="16">
        <v>0.5833333333333334</v>
      </c>
      <c r="E51" s="14" t="s">
        <v>117</v>
      </c>
      <c r="F51" s="14" t="s">
        <v>82</v>
      </c>
      <c r="G51" s="19">
        <v>38.0</v>
      </c>
      <c r="H51" s="14" t="s">
        <v>19</v>
      </c>
    </row>
    <row r="52" ht="18.0" customHeight="1">
      <c r="A52" s="14" t="s">
        <v>115</v>
      </c>
      <c r="B52" s="14" t="s">
        <v>90</v>
      </c>
      <c r="C52" s="16">
        <v>0.5</v>
      </c>
      <c r="D52" s="16">
        <v>0.5833333333333334</v>
      </c>
      <c r="E52" s="14" t="s">
        <v>118</v>
      </c>
      <c r="F52" s="14" t="s">
        <v>82</v>
      </c>
      <c r="G52" s="19">
        <v>27.0</v>
      </c>
      <c r="H52" s="14" t="s">
        <v>119</v>
      </c>
    </row>
    <row r="53" ht="18.0" customHeight="1">
      <c r="A53" s="14" t="s">
        <v>115</v>
      </c>
      <c r="B53" s="14" t="s">
        <v>90</v>
      </c>
      <c r="C53" s="16">
        <v>0.5</v>
      </c>
      <c r="D53" s="16">
        <v>0.5833333333333334</v>
      </c>
      <c r="E53" s="14" t="s">
        <v>120</v>
      </c>
      <c r="F53" s="14" t="s">
        <v>82</v>
      </c>
      <c r="G53" s="19">
        <v>20.0</v>
      </c>
      <c r="H53" s="14" t="s">
        <v>119</v>
      </c>
    </row>
    <row r="54" ht="18.0" customHeight="1">
      <c r="A54" s="14" t="s">
        <v>115</v>
      </c>
      <c r="B54" s="14" t="s">
        <v>90</v>
      </c>
      <c r="C54" s="16">
        <v>0.5</v>
      </c>
      <c r="D54" s="16">
        <v>0.5833333333333334</v>
      </c>
      <c r="E54" s="14" t="s">
        <v>121</v>
      </c>
      <c r="F54" s="14" t="s">
        <v>109</v>
      </c>
      <c r="G54" s="19">
        <v>39.0</v>
      </c>
      <c r="H54" s="14" t="s">
        <v>122</v>
      </c>
    </row>
    <row r="55" ht="18.0" customHeight="1">
      <c r="A55" s="14" t="s">
        <v>115</v>
      </c>
      <c r="B55" s="14" t="s">
        <v>90</v>
      </c>
      <c r="C55" s="16">
        <v>0.5</v>
      </c>
      <c r="D55" s="16">
        <v>0.5833333333333334</v>
      </c>
      <c r="E55" s="14" t="s">
        <v>123</v>
      </c>
      <c r="F55" s="14" t="s">
        <v>109</v>
      </c>
      <c r="G55" s="19">
        <v>19.0</v>
      </c>
      <c r="H55" s="14" t="s">
        <v>122</v>
      </c>
    </row>
    <row r="56" ht="18.0" customHeight="1">
      <c r="A56" s="14" t="s">
        <v>115</v>
      </c>
      <c r="B56" s="14" t="s">
        <v>90</v>
      </c>
      <c r="C56" s="16">
        <v>0.5</v>
      </c>
      <c r="D56" s="16">
        <v>0.5833333333333334</v>
      </c>
      <c r="E56" s="14" t="s">
        <v>124</v>
      </c>
      <c r="F56" s="14" t="s">
        <v>109</v>
      </c>
      <c r="G56" s="19">
        <v>22.0</v>
      </c>
      <c r="H56" s="14" t="s">
        <v>122</v>
      </c>
    </row>
    <row r="57" ht="18.0" customHeight="1">
      <c r="A57" s="14" t="s">
        <v>115</v>
      </c>
      <c r="B57" s="14" t="s">
        <v>90</v>
      </c>
      <c r="C57" s="16">
        <v>0.5</v>
      </c>
      <c r="D57" s="16">
        <v>0.5833333333333334</v>
      </c>
      <c r="E57" s="14" t="s">
        <v>125</v>
      </c>
      <c r="F57" s="14" t="s">
        <v>126</v>
      </c>
      <c r="G57" s="19">
        <v>39.0</v>
      </c>
      <c r="H57" s="14" t="s">
        <v>127</v>
      </c>
    </row>
    <row r="58" ht="18.0" customHeight="1">
      <c r="A58" s="14" t="s">
        <v>115</v>
      </c>
      <c r="B58" s="14" t="s">
        <v>90</v>
      </c>
      <c r="C58" s="16">
        <v>0.5</v>
      </c>
      <c r="D58" s="16">
        <v>0.5833333333333334</v>
      </c>
      <c r="E58" s="14" t="s">
        <v>128</v>
      </c>
      <c r="F58" s="14" t="s">
        <v>126</v>
      </c>
      <c r="G58" s="19">
        <v>39.0</v>
      </c>
      <c r="H58" s="14" t="s">
        <v>127</v>
      </c>
    </row>
    <row r="59" ht="18.0" customHeight="1">
      <c r="A59" s="14" t="s">
        <v>115</v>
      </c>
      <c r="B59" s="14" t="s">
        <v>90</v>
      </c>
      <c r="C59" s="16">
        <v>0.5</v>
      </c>
      <c r="D59" s="16">
        <v>0.5833333333333334</v>
      </c>
      <c r="E59" s="14" t="s">
        <v>129</v>
      </c>
      <c r="F59" s="14" t="s">
        <v>130</v>
      </c>
      <c r="G59" s="19">
        <v>39.0</v>
      </c>
      <c r="H59" s="14" t="s">
        <v>131</v>
      </c>
    </row>
    <row r="60" ht="18.0" customHeight="1">
      <c r="A60" s="24" t="s">
        <v>115</v>
      </c>
      <c r="B60" s="24" t="s">
        <v>90</v>
      </c>
      <c r="C60" s="25">
        <v>0.5</v>
      </c>
      <c r="D60" s="16">
        <v>0.5833333333333334</v>
      </c>
      <c r="E60" s="24" t="s">
        <v>132</v>
      </c>
      <c r="F60" s="24" t="s">
        <v>130</v>
      </c>
      <c r="G60" s="27">
        <v>40.0</v>
      </c>
      <c r="H60" s="24" t="s">
        <v>131</v>
      </c>
    </row>
    <row r="61" ht="18.0" customHeight="1">
      <c r="A61" s="28" t="s">
        <v>115</v>
      </c>
      <c r="B61" s="29" t="s">
        <v>90</v>
      </c>
      <c r="C61" s="30">
        <v>0.5</v>
      </c>
      <c r="D61" s="30">
        <v>0.5833333333333334</v>
      </c>
      <c r="E61" s="29" t="s">
        <v>133</v>
      </c>
      <c r="F61" s="29" t="s">
        <v>130</v>
      </c>
      <c r="G61" s="31">
        <v>40.0</v>
      </c>
      <c r="H61" s="33" t="s">
        <v>131</v>
      </c>
    </row>
    <row r="62" ht="18.0" customHeight="1">
      <c r="A62" s="8"/>
      <c r="B62" s="39"/>
      <c r="C62" s="10"/>
      <c r="D62" s="10"/>
      <c r="E62" s="11"/>
      <c r="F62" s="40"/>
      <c r="G62" s="13">
        <v>401.0</v>
      </c>
      <c r="H62" s="13"/>
    </row>
    <row r="63" ht="24.0" customHeight="1">
      <c r="A63" s="8"/>
      <c r="B63" s="9" t="s">
        <v>88</v>
      </c>
      <c r="C63" s="10"/>
      <c r="D63" s="10"/>
      <c r="E63" s="21"/>
      <c r="F63" s="23"/>
      <c r="G63" s="22"/>
      <c r="H63" s="21"/>
    </row>
    <row r="64" ht="18.0" customHeight="1">
      <c r="A64" s="14" t="s">
        <v>134</v>
      </c>
      <c r="B64" s="14" t="s">
        <v>90</v>
      </c>
      <c r="C64" s="16">
        <v>0.625</v>
      </c>
      <c r="D64" s="16">
        <v>0.7083333333333334</v>
      </c>
      <c r="E64" s="14" t="s">
        <v>135</v>
      </c>
      <c r="F64" s="14" t="s">
        <v>136</v>
      </c>
      <c r="G64" s="19">
        <v>1.0</v>
      </c>
      <c r="H64" s="14" t="s">
        <v>137</v>
      </c>
    </row>
    <row r="65" ht="18.0" customHeight="1">
      <c r="A65" s="14" t="s">
        <v>134</v>
      </c>
      <c r="B65" s="14" t="s">
        <v>90</v>
      </c>
      <c r="C65" s="16">
        <v>0.625</v>
      </c>
      <c r="D65" s="16">
        <v>0.7083333333333334</v>
      </c>
      <c r="E65" s="14" t="s">
        <v>138</v>
      </c>
      <c r="F65" s="14" t="s">
        <v>136</v>
      </c>
      <c r="G65" s="19">
        <v>40.0</v>
      </c>
      <c r="H65" s="14" t="s">
        <v>85</v>
      </c>
    </row>
    <row r="66" ht="18.0" customHeight="1">
      <c r="A66" s="14" t="s">
        <v>134</v>
      </c>
      <c r="B66" s="14" t="s">
        <v>90</v>
      </c>
      <c r="C66" s="16">
        <v>0.625</v>
      </c>
      <c r="D66" s="16">
        <v>0.7083333333333334</v>
      </c>
      <c r="E66" s="14" t="s">
        <v>139</v>
      </c>
      <c r="F66" s="14" t="s">
        <v>136</v>
      </c>
      <c r="G66" s="19">
        <v>40.0</v>
      </c>
      <c r="H66" s="14" t="s">
        <v>85</v>
      </c>
    </row>
    <row r="67" ht="18.0" customHeight="1">
      <c r="A67" s="14" t="s">
        <v>134</v>
      </c>
      <c r="B67" s="14" t="s">
        <v>90</v>
      </c>
      <c r="C67" s="16">
        <v>0.625</v>
      </c>
      <c r="D67" s="16">
        <v>0.7083333333333334</v>
      </c>
      <c r="E67" s="14" t="s">
        <v>140</v>
      </c>
      <c r="F67" s="14" t="s">
        <v>136</v>
      </c>
      <c r="G67" s="19">
        <v>40.0</v>
      </c>
      <c r="H67" s="14" t="s">
        <v>137</v>
      </c>
    </row>
    <row r="68" ht="18.0" customHeight="1">
      <c r="A68" s="14" t="s">
        <v>134</v>
      </c>
      <c r="B68" s="14" t="s">
        <v>90</v>
      </c>
      <c r="C68" s="16">
        <v>0.625</v>
      </c>
      <c r="D68" s="16">
        <v>0.7083333333333334</v>
      </c>
      <c r="E68" s="14" t="s">
        <v>141</v>
      </c>
      <c r="F68" s="14" t="s">
        <v>136</v>
      </c>
      <c r="G68" s="19">
        <v>38.0</v>
      </c>
      <c r="H68" s="14" t="s">
        <v>137</v>
      </c>
    </row>
    <row r="69" ht="18.0" customHeight="1">
      <c r="A69" s="14" t="s">
        <v>134</v>
      </c>
      <c r="B69" s="14" t="s">
        <v>90</v>
      </c>
      <c r="C69" s="16">
        <v>0.625</v>
      </c>
      <c r="D69" s="16">
        <v>0.7083333333333334</v>
      </c>
      <c r="E69" s="14" t="s">
        <v>142</v>
      </c>
      <c r="F69" s="14" t="s">
        <v>18</v>
      </c>
      <c r="G69" s="19">
        <v>35.0</v>
      </c>
      <c r="H69" s="14" t="s">
        <v>143</v>
      </c>
    </row>
    <row r="70" ht="18.0" customHeight="1">
      <c r="A70" s="14" t="s">
        <v>134</v>
      </c>
      <c r="B70" s="14" t="s">
        <v>90</v>
      </c>
      <c r="C70" s="16">
        <v>0.625</v>
      </c>
      <c r="D70" s="16">
        <v>0.7083333333333334</v>
      </c>
      <c r="E70" s="14" t="s">
        <v>144</v>
      </c>
      <c r="F70" s="14" t="s">
        <v>18</v>
      </c>
      <c r="G70" s="19">
        <v>21.0</v>
      </c>
      <c r="H70" s="14" t="s">
        <v>119</v>
      </c>
    </row>
    <row r="71" ht="18.0" customHeight="1">
      <c r="A71" s="14" t="s">
        <v>134</v>
      </c>
      <c r="B71" s="14" t="s">
        <v>90</v>
      </c>
      <c r="C71" s="16">
        <v>0.625</v>
      </c>
      <c r="D71" s="16">
        <v>0.7083333333333334</v>
      </c>
      <c r="E71" s="14" t="s">
        <v>145</v>
      </c>
      <c r="F71" s="14" t="s">
        <v>18</v>
      </c>
      <c r="G71" s="19">
        <v>28.0</v>
      </c>
      <c r="H71" s="14" t="s">
        <v>119</v>
      </c>
    </row>
    <row r="72" ht="18.0" customHeight="1">
      <c r="A72" s="14" t="s">
        <v>134</v>
      </c>
      <c r="B72" s="14" t="s">
        <v>90</v>
      </c>
      <c r="C72" s="16">
        <v>0.625</v>
      </c>
      <c r="D72" s="16">
        <v>0.7083333333333334</v>
      </c>
      <c r="E72" s="14" t="s">
        <v>146</v>
      </c>
      <c r="F72" s="14" t="s">
        <v>18</v>
      </c>
      <c r="G72" s="19">
        <v>36.0</v>
      </c>
      <c r="H72" s="14" t="s">
        <v>143</v>
      </c>
    </row>
    <row r="73" ht="18.0" customHeight="1">
      <c r="A73" s="24" t="s">
        <v>134</v>
      </c>
      <c r="B73" s="24" t="s">
        <v>90</v>
      </c>
      <c r="C73" s="16">
        <v>0.625</v>
      </c>
      <c r="D73" s="16">
        <v>0.7083333333333334</v>
      </c>
      <c r="E73" s="24" t="s">
        <v>147</v>
      </c>
      <c r="F73" s="24" t="s">
        <v>50</v>
      </c>
      <c r="G73" s="27">
        <v>37.0</v>
      </c>
      <c r="H73" s="24" t="s">
        <v>57</v>
      </c>
    </row>
    <row r="74" ht="18.0" customHeight="1">
      <c r="A74" s="28" t="s">
        <v>134</v>
      </c>
      <c r="B74" s="29" t="s">
        <v>90</v>
      </c>
      <c r="C74" s="30">
        <v>0.625</v>
      </c>
      <c r="D74" s="30">
        <v>0.7083333333333334</v>
      </c>
      <c r="E74" s="29" t="s">
        <v>148</v>
      </c>
      <c r="F74" s="29" t="s">
        <v>50</v>
      </c>
      <c r="G74" s="31">
        <v>20.0</v>
      </c>
      <c r="H74" s="33" t="s">
        <v>57</v>
      </c>
    </row>
    <row r="75" ht="18.0" customHeight="1">
      <c r="A75" s="17" t="s">
        <v>134</v>
      </c>
      <c r="B75" s="34" t="s">
        <v>90</v>
      </c>
      <c r="C75" s="35">
        <v>0.625</v>
      </c>
      <c r="D75" s="35">
        <v>0.7083333333333334</v>
      </c>
      <c r="E75" s="17" t="s">
        <v>149</v>
      </c>
      <c r="F75" s="34" t="s">
        <v>50</v>
      </c>
      <c r="G75" s="36">
        <v>36.0</v>
      </c>
      <c r="H75" s="29" t="s">
        <v>57</v>
      </c>
    </row>
    <row r="76" ht="18.0" customHeight="1">
      <c r="A76" s="14" t="s">
        <v>134</v>
      </c>
      <c r="B76" s="14" t="s">
        <v>90</v>
      </c>
      <c r="C76" s="16">
        <v>0.625</v>
      </c>
      <c r="D76" s="16">
        <v>0.7083333333333334</v>
      </c>
      <c r="E76" s="14" t="s">
        <v>150</v>
      </c>
      <c r="F76" s="14" t="s">
        <v>50</v>
      </c>
      <c r="G76" s="19">
        <v>38.0</v>
      </c>
      <c r="H76" s="17" t="s">
        <v>143</v>
      </c>
    </row>
    <row r="77" ht="18.0" customHeight="1">
      <c r="A77" s="14" t="s">
        <v>134</v>
      </c>
      <c r="B77" s="14" t="s">
        <v>90</v>
      </c>
      <c r="C77" s="16">
        <v>0.625</v>
      </c>
      <c r="D77" s="16">
        <v>0.7083333333333334</v>
      </c>
      <c r="E77" s="14" t="s">
        <v>151</v>
      </c>
      <c r="F77" s="14" t="s">
        <v>50</v>
      </c>
      <c r="G77" s="19">
        <v>40.0</v>
      </c>
      <c r="H77" s="14" t="s">
        <v>143</v>
      </c>
    </row>
    <row r="78" ht="18.0" customHeight="1">
      <c r="A78" s="14" t="s">
        <v>134</v>
      </c>
      <c r="B78" s="14" t="s">
        <v>90</v>
      </c>
      <c r="C78" s="16">
        <v>0.625</v>
      </c>
      <c r="D78" s="16">
        <v>0.7083333333333334</v>
      </c>
      <c r="E78" s="14" t="s">
        <v>152</v>
      </c>
      <c r="F78" s="14" t="s">
        <v>56</v>
      </c>
      <c r="G78" s="19">
        <v>39.0</v>
      </c>
      <c r="H78" s="14" t="s">
        <v>153</v>
      </c>
    </row>
    <row r="79" ht="18.0" customHeight="1">
      <c r="A79" s="14" t="s">
        <v>134</v>
      </c>
      <c r="B79" s="14" t="s">
        <v>90</v>
      </c>
      <c r="C79" s="16">
        <v>0.625</v>
      </c>
      <c r="D79" s="16">
        <v>0.7083333333333334</v>
      </c>
      <c r="E79" s="14" t="s">
        <v>154</v>
      </c>
      <c r="F79" s="14" t="s">
        <v>56</v>
      </c>
      <c r="G79" s="19">
        <v>38.0</v>
      </c>
      <c r="H79" s="14" t="s">
        <v>153</v>
      </c>
    </row>
    <row r="80" ht="18.0" customHeight="1">
      <c r="A80" s="14" t="s">
        <v>134</v>
      </c>
      <c r="B80" s="14" t="s">
        <v>90</v>
      </c>
      <c r="C80" s="16">
        <v>0.625</v>
      </c>
      <c r="D80" s="16">
        <v>0.7083333333333334</v>
      </c>
      <c r="E80" s="14" t="s">
        <v>155</v>
      </c>
      <c r="F80" s="14" t="s">
        <v>109</v>
      </c>
      <c r="G80" s="19">
        <v>34.0</v>
      </c>
      <c r="H80" s="14" t="s">
        <v>156</v>
      </c>
    </row>
    <row r="81" ht="18.0" customHeight="1">
      <c r="A81" s="24" t="s">
        <v>134</v>
      </c>
      <c r="B81" s="24" t="s">
        <v>90</v>
      </c>
      <c r="C81" s="16">
        <v>0.625</v>
      </c>
      <c r="D81" s="16">
        <v>0.7083333333333334</v>
      </c>
      <c r="E81" s="24" t="s">
        <v>157</v>
      </c>
      <c r="F81" s="24" t="s">
        <v>109</v>
      </c>
      <c r="G81" s="27">
        <v>36.0</v>
      </c>
      <c r="H81" s="24" t="s">
        <v>156</v>
      </c>
    </row>
    <row r="82" ht="18.0" customHeight="1">
      <c r="A82" s="13"/>
      <c r="B82" s="13"/>
      <c r="C82" s="41"/>
      <c r="D82" s="41"/>
      <c r="E82" s="13"/>
      <c r="F82" s="13"/>
      <c r="G82" s="42">
        <v>597.0</v>
      </c>
      <c r="H82" s="42"/>
    </row>
    <row r="83" ht="24.0" customHeight="1">
      <c r="A83" s="8"/>
      <c r="B83" s="9" t="s">
        <v>158</v>
      </c>
      <c r="C83" s="10"/>
      <c r="D83" s="10"/>
      <c r="E83" s="21"/>
      <c r="F83" s="23"/>
      <c r="G83" s="21"/>
      <c r="H83" s="21"/>
    </row>
    <row r="84" ht="18.0" customHeight="1">
      <c r="A84" s="14" t="s">
        <v>159</v>
      </c>
      <c r="B84" s="14" t="s">
        <v>160</v>
      </c>
      <c r="C84" s="16">
        <v>0.375</v>
      </c>
      <c r="D84" s="16">
        <v>0.4583333333333333</v>
      </c>
      <c r="E84" s="14" t="s">
        <v>161</v>
      </c>
      <c r="F84" s="14" t="s">
        <v>162</v>
      </c>
      <c r="G84" s="19">
        <v>39.0</v>
      </c>
      <c r="H84" s="14" t="s">
        <v>163</v>
      </c>
    </row>
    <row r="85" ht="18.0" customHeight="1">
      <c r="A85" s="14" t="s">
        <v>159</v>
      </c>
      <c r="B85" s="14" t="s">
        <v>160</v>
      </c>
      <c r="C85" s="16">
        <v>0.375</v>
      </c>
      <c r="D85" s="16">
        <v>0.4583333333333333</v>
      </c>
      <c r="E85" s="14" t="s">
        <v>165</v>
      </c>
      <c r="F85" s="14" t="s">
        <v>56</v>
      </c>
      <c r="G85" s="19">
        <v>39.0</v>
      </c>
      <c r="H85" s="14" t="s">
        <v>85</v>
      </c>
    </row>
    <row r="86" ht="18.0" customHeight="1">
      <c r="A86" s="14" t="s">
        <v>159</v>
      </c>
      <c r="B86" s="14" t="s">
        <v>160</v>
      </c>
      <c r="C86" s="16">
        <v>0.375</v>
      </c>
      <c r="D86" s="16">
        <v>0.4583333333333333</v>
      </c>
      <c r="E86" s="14" t="s">
        <v>166</v>
      </c>
      <c r="F86" s="14" t="s">
        <v>167</v>
      </c>
      <c r="G86" s="19">
        <v>41.0</v>
      </c>
      <c r="H86" s="14" t="s">
        <v>168</v>
      </c>
    </row>
    <row r="87" ht="18.0" customHeight="1">
      <c r="A87" s="24" t="s">
        <v>159</v>
      </c>
      <c r="B87" s="24" t="s">
        <v>160</v>
      </c>
      <c r="C87" s="16">
        <v>0.375</v>
      </c>
      <c r="D87" s="16">
        <v>0.4583333333333333</v>
      </c>
      <c r="E87" s="24" t="s">
        <v>169</v>
      </c>
      <c r="F87" s="24" t="s">
        <v>167</v>
      </c>
      <c r="G87" s="27">
        <v>40.0</v>
      </c>
      <c r="H87" s="24" t="s">
        <v>168</v>
      </c>
    </row>
    <row r="88" ht="18.0" customHeight="1">
      <c r="A88" s="28" t="s">
        <v>159</v>
      </c>
      <c r="B88" s="29" t="s">
        <v>160</v>
      </c>
      <c r="C88" s="30">
        <v>0.375</v>
      </c>
      <c r="D88" s="30">
        <v>0.4583333333333333</v>
      </c>
      <c r="E88" s="29" t="s">
        <v>170</v>
      </c>
      <c r="F88" s="29" t="s">
        <v>167</v>
      </c>
      <c r="G88" s="31">
        <v>41.0</v>
      </c>
      <c r="H88" s="33" t="s">
        <v>171</v>
      </c>
    </row>
    <row r="89" ht="18.0" customHeight="1">
      <c r="A89" s="17" t="s">
        <v>159</v>
      </c>
      <c r="B89" s="34" t="s">
        <v>160</v>
      </c>
      <c r="C89" s="35">
        <v>0.375</v>
      </c>
      <c r="D89" s="35">
        <v>0.4583333333333333</v>
      </c>
      <c r="E89" s="36" t="s">
        <v>172</v>
      </c>
      <c r="F89" s="37" t="s">
        <v>32</v>
      </c>
      <c r="G89" s="29">
        <v>40.0</v>
      </c>
      <c r="H89" s="29" t="s">
        <v>173</v>
      </c>
    </row>
    <row r="90" ht="18.0" customHeight="1">
      <c r="A90" s="14" t="s">
        <v>159</v>
      </c>
      <c r="B90" s="14" t="s">
        <v>160</v>
      </c>
      <c r="C90" s="16">
        <v>0.375</v>
      </c>
      <c r="D90" s="16">
        <v>0.4583333333333333</v>
      </c>
      <c r="E90" s="14" t="s">
        <v>174</v>
      </c>
      <c r="F90" s="17" t="s">
        <v>175</v>
      </c>
      <c r="G90" s="18">
        <v>38.0</v>
      </c>
      <c r="H90" s="17" t="s">
        <v>176</v>
      </c>
    </row>
    <row r="91" ht="18.0" customHeight="1">
      <c r="A91" s="14" t="s">
        <v>159</v>
      </c>
      <c r="B91" s="14" t="s">
        <v>160</v>
      </c>
      <c r="C91" s="16">
        <v>0.375</v>
      </c>
      <c r="D91" s="16">
        <v>0.4583333333333333</v>
      </c>
      <c r="E91" s="14" t="s">
        <v>177</v>
      </c>
      <c r="F91" s="14" t="s">
        <v>175</v>
      </c>
      <c r="G91" s="19">
        <v>39.0</v>
      </c>
      <c r="H91" s="14" t="s">
        <v>178</v>
      </c>
    </row>
    <row r="92" ht="18.0" customHeight="1">
      <c r="A92" s="14" t="s">
        <v>159</v>
      </c>
      <c r="B92" s="14" t="s">
        <v>160</v>
      </c>
      <c r="C92" s="16">
        <v>0.375</v>
      </c>
      <c r="D92" s="16">
        <v>0.4583333333333333</v>
      </c>
      <c r="E92" s="14" t="s">
        <v>179</v>
      </c>
      <c r="F92" s="14" t="s">
        <v>175</v>
      </c>
      <c r="G92" s="19">
        <v>39.0</v>
      </c>
      <c r="H92" s="14" t="s">
        <v>180</v>
      </c>
    </row>
    <row r="93" ht="18.0" customHeight="1">
      <c r="A93" s="14" t="s">
        <v>159</v>
      </c>
      <c r="B93" s="14" t="s">
        <v>160</v>
      </c>
      <c r="C93" s="16">
        <v>0.375</v>
      </c>
      <c r="D93" s="16">
        <v>0.4583333333333333</v>
      </c>
      <c r="E93" s="14" t="s">
        <v>181</v>
      </c>
      <c r="F93" s="14" t="s">
        <v>175</v>
      </c>
      <c r="G93" s="19">
        <v>38.0</v>
      </c>
      <c r="H93" s="14" t="s">
        <v>182</v>
      </c>
    </row>
    <row r="94" ht="18.0" customHeight="1">
      <c r="A94" s="14" t="s">
        <v>159</v>
      </c>
      <c r="B94" s="14" t="s">
        <v>160</v>
      </c>
      <c r="C94" s="16">
        <v>0.375</v>
      </c>
      <c r="D94" s="16">
        <v>0.4583333333333333</v>
      </c>
      <c r="E94" s="14" t="s">
        <v>183</v>
      </c>
      <c r="F94" s="14" t="s">
        <v>175</v>
      </c>
      <c r="G94" s="19">
        <v>40.0</v>
      </c>
      <c r="H94" s="14" t="s">
        <v>184</v>
      </c>
    </row>
    <row r="95" ht="18.0" customHeight="1">
      <c r="A95" s="14" t="s">
        <v>159</v>
      </c>
      <c r="B95" s="14" t="s">
        <v>160</v>
      </c>
      <c r="C95" s="16">
        <v>0.375</v>
      </c>
      <c r="D95" s="16">
        <v>0.4583333333333333</v>
      </c>
      <c r="E95" s="14" t="s">
        <v>185</v>
      </c>
      <c r="F95" s="14" t="s">
        <v>175</v>
      </c>
      <c r="G95" s="19">
        <v>38.0</v>
      </c>
      <c r="H95" s="14" t="s">
        <v>180</v>
      </c>
    </row>
    <row r="96" ht="18.0" customHeight="1">
      <c r="A96" s="14" t="s">
        <v>159</v>
      </c>
      <c r="B96" s="14" t="s">
        <v>160</v>
      </c>
      <c r="C96" s="16">
        <v>0.375</v>
      </c>
      <c r="D96" s="16">
        <v>0.4583333333333333</v>
      </c>
      <c r="E96" s="14" t="s">
        <v>186</v>
      </c>
      <c r="F96" s="14" t="s">
        <v>175</v>
      </c>
      <c r="G96" s="19">
        <v>38.0</v>
      </c>
      <c r="H96" s="14" t="s">
        <v>187</v>
      </c>
    </row>
    <row r="97" ht="18.0" customHeight="1">
      <c r="A97" s="14" t="s">
        <v>159</v>
      </c>
      <c r="B97" s="14" t="s">
        <v>160</v>
      </c>
      <c r="C97" s="16">
        <v>0.375</v>
      </c>
      <c r="D97" s="16">
        <v>0.4583333333333333</v>
      </c>
      <c r="E97" s="14" t="s">
        <v>188</v>
      </c>
      <c r="F97" s="14" t="s">
        <v>175</v>
      </c>
      <c r="G97" s="19">
        <v>32.0</v>
      </c>
      <c r="H97" s="14" t="s">
        <v>178</v>
      </c>
    </row>
    <row r="98" ht="18.0" customHeight="1">
      <c r="A98" s="14" t="s">
        <v>159</v>
      </c>
      <c r="B98" s="14" t="s">
        <v>160</v>
      </c>
      <c r="C98" s="16">
        <v>0.375</v>
      </c>
      <c r="D98" s="16">
        <v>0.4583333333333333</v>
      </c>
      <c r="E98" s="14" t="s">
        <v>189</v>
      </c>
      <c r="F98" s="14" t="s">
        <v>190</v>
      </c>
      <c r="G98" s="19">
        <v>36.0</v>
      </c>
      <c r="H98" s="14" t="s">
        <v>191</v>
      </c>
    </row>
    <row r="99" ht="18.0" customHeight="1">
      <c r="A99" s="14" t="s">
        <v>159</v>
      </c>
      <c r="B99" s="14" t="s">
        <v>160</v>
      </c>
      <c r="C99" s="16">
        <v>0.375</v>
      </c>
      <c r="D99" s="16">
        <v>0.4583333333333333</v>
      </c>
      <c r="E99" s="14" t="s">
        <v>192</v>
      </c>
      <c r="F99" s="14" t="s">
        <v>190</v>
      </c>
      <c r="G99" s="19">
        <v>36.0</v>
      </c>
      <c r="H99" s="14" t="s">
        <v>191</v>
      </c>
    </row>
    <row r="100" ht="18.0" customHeight="1">
      <c r="A100" s="14" t="s">
        <v>159</v>
      </c>
      <c r="B100" s="14" t="s">
        <v>160</v>
      </c>
      <c r="C100" s="16">
        <v>0.375</v>
      </c>
      <c r="D100" s="16">
        <v>0.4583333333333333</v>
      </c>
      <c r="E100" s="14" t="s">
        <v>193</v>
      </c>
      <c r="F100" s="14" t="s">
        <v>190</v>
      </c>
      <c r="G100" s="19">
        <v>38.0</v>
      </c>
      <c r="H100" s="14" t="s">
        <v>191</v>
      </c>
    </row>
    <row r="101" ht="18.0" customHeight="1">
      <c r="A101" s="8"/>
      <c r="B101" s="21"/>
      <c r="C101" s="10"/>
      <c r="D101" s="10"/>
      <c r="E101" s="21"/>
      <c r="F101" s="21"/>
      <c r="G101" s="22">
        <v>652.0</v>
      </c>
      <c r="H101" s="21"/>
    </row>
    <row r="102" ht="24.0" customHeight="1">
      <c r="A102" s="8"/>
      <c r="B102" s="9" t="s">
        <v>158</v>
      </c>
      <c r="C102" s="10"/>
      <c r="D102" s="10"/>
      <c r="E102" s="21"/>
      <c r="F102" s="23"/>
      <c r="G102" s="22"/>
      <c r="H102" s="21"/>
    </row>
    <row r="103" ht="18.0" customHeight="1">
      <c r="A103" s="28" t="s">
        <v>194</v>
      </c>
      <c r="B103" s="29" t="s">
        <v>160</v>
      </c>
      <c r="C103" s="30">
        <v>0.5</v>
      </c>
      <c r="D103" s="30">
        <v>0.5833333333333334</v>
      </c>
      <c r="E103" s="29" t="s">
        <v>195</v>
      </c>
      <c r="F103" s="29" t="s">
        <v>82</v>
      </c>
      <c r="G103" s="31">
        <v>22.0</v>
      </c>
      <c r="H103" s="33" t="s">
        <v>171</v>
      </c>
    </row>
    <row r="104" ht="18.0" customHeight="1">
      <c r="A104" s="17" t="s">
        <v>194</v>
      </c>
      <c r="B104" s="34" t="s">
        <v>160</v>
      </c>
      <c r="C104" s="35">
        <v>0.5</v>
      </c>
      <c r="D104" s="35">
        <v>0.5833333333333334</v>
      </c>
      <c r="E104" s="36" t="s">
        <v>196</v>
      </c>
      <c r="F104" s="37" t="s">
        <v>82</v>
      </c>
      <c r="G104" s="29">
        <v>30.0</v>
      </c>
      <c r="H104" s="29" t="s">
        <v>197</v>
      </c>
    </row>
    <row r="105" ht="18.0" customHeight="1">
      <c r="A105" s="14" t="s">
        <v>194</v>
      </c>
      <c r="B105" s="14" t="s">
        <v>160</v>
      </c>
      <c r="C105" s="16">
        <v>0.5</v>
      </c>
      <c r="D105" s="16">
        <v>0.5833333333333334</v>
      </c>
      <c r="E105" s="14" t="s">
        <v>198</v>
      </c>
      <c r="F105" s="17" t="s">
        <v>82</v>
      </c>
      <c r="G105" s="18">
        <v>30.0</v>
      </c>
      <c r="H105" s="17" t="s">
        <v>197</v>
      </c>
    </row>
    <row r="106" ht="18.0" customHeight="1">
      <c r="A106" s="14" t="s">
        <v>194</v>
      </c>
      <c r="B106" s="14" t="s">
        <v>160</v>
      </c>
      <c r="C106" s="16">
        <v>0.5</v>
      </c>
      <c r="D106" s="16">
        <v>0.5833333333333334</v>
      </c>
      <c r="E106" s="14" t="s">
        <v>199</v>
      </c>
      <c r="F106" s="14" t="s">
        <v>82</v>
      </c>
      <c r="G106" s="19">
        <v>38.0</v>
      </c>
      <c r="H106" s="14" t="s">
        <v>200</v>
      </c>
    </row>
    <row r="107" ht="18.0" customHeight="1">
      <c r="A107" s="14" t="s">
        <v>194</v>
      </c>
      <c r="B107" s="14" t="s">
        <v>160</v>
      </c>
      <c r="C107" s="16">
        <v>0.5</v>
      </c>
      <c r="D107" s="16">
        <v>0.5833333333333334</v>
      </c>
      <c r="E107" s="14" t="s">
        <v>201</v>
      </c>
      <c r="F107" s="14" t="s">
        <v>82</v>
      </c>
      <c r="G107" s="19">
        <v>40.0</v>
      </c>
      <c r="H107" s="14" t="s">
        <v>200</v>
      </c>
    </row>
    <row r="108" ht="18.0" customHeight="1">
      <c r="A108" s="14" t="s">
        <v>194</v>
      </c>
      <c r="B108" s="14" t="s">
        <v>160</v>
      </c>
      <c r="C108" s="16">
        <v>0.5</v>
      </c>
      <c r="D108" s="16">
        <v>0.5833333333333334</v>
      </c>
      <c r="E108" s="14" t="s">
        <v>202</v>
      </c>
      <c r="F108" s="14" t="s">
        <v>82</v>
      </c>
      <c r="G108" s="19">
        <v>18.0</v>
      </c>
      <c r="H108" s="14" t="s">
        <v>171</v>
      </c>
    </row>
    <row r="109" ht="18.0" customHeight="1">
      <c r="A109" s="14" t="s">
        <v>194</v>
      </c>
      <c r="B109" s="14" t="s">
        <v>160</v>
      </c>
      <c r="C109" s="16">
        <v>0.5</v>
      </c>
      <c r="D109" s="16">
        <v>0.5833333333333334</v>
      </c>
      <c r="E109" s="14" t="s">
        <v>203</v>
      </c>
      <c r="F109" s="14" t="s">
        <v>204</v>
      </c>
      <c r="G109" s="19">
        <v>38.0</v>
      </c>
      <c r="H109" s="14" t="s">
        <v>205</v>
      </c>
    </row>
    <row r="110" ht="18.0" customHeight="1">
      <c r="A110" s="14" t="s">
        <v>194</v>
      </c>
      <c r="B110" s="14" t="s">
        <v>160</v>
      </c>
      <c r="C110" s="16">
        <v>0.5</v>
      </c>
      <c r="D110" s="16">
        <v>0.5833333333333334</v>
      </c>
      <c r="E110" s="14" t="s">
        <v>206</v>
      </c>
      <c r="F110" s="14" t="s">
        <v>47</v>
      </c>
      <c r="G110" s="19">
        <v>1.0</v>
      </c>
      <c r="H110" s="14" t="s">
        <v>207</v>
      </c>
    </row>
    <row r="111" ht="18.0" customHeight="1">
      <c r="A111" s="14" t="s">
        <v>194</v>
      </c>
      <c r="B111" s="14" t="s">
        <v>160</v>
      </c>
      <c r="C111" s="16">
        <v>0.5</v>
      </c>
      <c r="D111" s="16">
        <v>0.5833333333333334</v>
      </c>
      <c r="E111" s="14" t="s">
        <v>208</v>
      </c>
      <c r="F111" s="14" t="s">
        <v>47</v>
      </c>
      <c r="G111" s="19">
        <v>40.0</v>
      </c>
      <c r="H111" s="14" t="s">
        <v>209</v>
      </c>
    </row>
    <row r="112" ht="18.0" customHeight="1">
      <c r="A112" s="14" t="s">
        <v>194</v>
      </c>
      <c r="B112" s="14" t="s">
        <v>160</v>
      </c>
      <c r="C112" s="16">
        <v>0.5</v>
      </c>
      <c r="D112" s="16">
        <v>0.5833333333333334</v>
      </c>
      <c r="E112" s="14" t="s">
        <v>210</v>
      </c>
      <c r="F112" s="14" t="s">
        <v>47</v>
      </c>
      <c r="G112" s="19">
        <v>40.0</v>
      </c>
      <c r="H112" s="14" t="s">
        <v>207</v>
      </c>
    </row>
    <row r="113" ht="18.0" customHeight="1">
      <c r="A113" s="14" t="s">
        <v>194</v>
      </c>
      <c r="B113" s="14" t="s">
        <v>160</v>
      </c>
      <c r="C113" s="16">
        <v>0.5</v>
      </c>
      <c r="D113" s="16">
        <v>0.5833333333333334</v>
      </c>
      <c r="E113" s="14" t="s">
        <v>211</v>
      </c>
      <c r="F113" s="14" t="s">
        <v>47</v>
      </c>
      <c r="G113" s="19">
        <v>40.0</v>
      </c>
      <c r="H113" s="14" t="s">
        <v>207</v>
      </c>
    </row>
    <row r="114" ht="18.0" customHeight="1">
      <c r="A114" s="14" t="s">
        <v>194</v>
      </c>
      <c r="B114" s="14" t="s">
        <v>160</v>
      </c>
      <c r="C114" s="16">
        <v>0.5</v>
      </c>
      <c r="D114" s="16">
        <v>0.5833333333333334</v>
      </c>
      <c r="E114" s="14" t="s">
        <v>212</v>
      </c>
      <c r="F114" s="14" t="s">
        <v>47</v>
      </c>
      <c r="G114" s="19">
        <v>40.0</v>
      </c>
      <c r="H114" s="14" t="s">
        <v>209</v>
      </c>
    </row>
    <row r="115" ht="18.0" customHeight="1">
      <c r="A115" s="24" t="s">
        <v>194</v>
      </c>
      <c r="B115" s="24" t="s">
        <v>160</v>
      </c>
      <c r="C115" s="25">
        <v>0.5</v>
      </c>
      <c r="D115" s="16">
        <v>0.5833333333333334</v>
      </c>
      <c r="E115" s="24" t="s">
        <v>213</v>
      </c>
      <c r="F115" s="24" t="s">
        <v>47</v>
      </c>
      <c r="G115" s="27">
        <v>40.0</v>
      </c>
      <c r="H115" s="24" t="s">
        <v>209</v>
      </c>
    </row>
    <row r="116" ht="18.0" customHeight="1">
      <c r="A116" s="28" t="s">
        <v>194</v>
      </c>
      <c r="B116" s="29" t="s">
        <v>160</v>
      </c>
      <c r="C116" s="30">
        <v>0.5</v>
      </c>
      <c r="D116" s="30">
        <v>0.5833333333333334</v>
      </c>
      <c r="E116" s="29" t="s">
        <v>214</v>
      </c>
      <c r="F116" s="29" t="s">
        <v>47</v>
      </c>
      <c r="G116" s="31">
        <v>26.0</v>
      </c>
      <c r="H116" s="33" t="s">
        <v>215</v>
      </c>
    </row>
    <row r="117" ht="18.0" customHeight="1">
      <c r="A117" s="17" t="s">
        <v>194</v>
      </c>
      <c r="B117" s="34" t="s">
        <v>160</v>
      </c>
      <c r="C117" s="35">
        <v>0.5</v>
      </c>
      <c r="D117" s="35">
        <v>0.5833333333333334</v>
      </c>
      <c r="E117" s="36" t="s">
        <v>216</v>
      </c>
      <c r="F117" s="37" t="s">
        <v>47</v>
      </c>
      <c r="G117" s="44">
        <v>40.0</v>
      </c>
      <c r="H117" s="17" t="s">
        <v>215</v>
      </c>
    </row>
    <row r="118" ht="18.0" customHeight="1">
      <c r="A118" s="14" t="s">
        <v>194</v>
      </c>
      <c r="B118" s="14" t="s">
        <v>160</v>
      </c>
      <c r="C118" s="16">
        <v>0.5</v>
      </c>
      <c r="D118" s="16">
        <v>0.5833333333333334</v>
      </c>
      <c r="E118" s="14" t="s">
        <v>217</v>
      </c>
      <c r="F118" s="17" t="s">
        <v>47</v>
      </c>
      <c r="G118" s="19">
        <v>39.0</v>
      </c>
      <c r="H118" s="14" t="s">
        <v>215</v>
      </c>
    </row>
    <row r="119" ht="18.0" customHeight="1">
      <c r="A119" s="14" t="s">
        <v>194</v>
      </c>
      <c r="B119" s="14" t="s">
        <v>160</v>
      </c>
      <c r="C119" s="16">
        <v>0.5</v>
      </c>
      <c r="D119" s="16">
        <v>0.5833333333333334</v>
      </c>
      <c r="E119" s="14" t="s">
        <v>218</v>
      </c>
      <c r="F119" s="14" t="s">
        <v>47</v>
      </c>
      <c r="G119" s="19">
        <v>20.0</v>
      </c>
      <c r="H119" s="14" t="s">
        <v>215</v>
      </c>
    </row>
    <row r="120" ht="18.0" customHeight="1">
      <c r="A120" s="14" t="s">
        <v>194</v>
      </c>
      <c r="B120" s="14" t="s">
        <v>160</v>
      </c>
      <c r="C120" s="16">
        <v>0.5</v>
      </c>
      <c r="D120" s="16">
        <v>0.5833333333333334</v>
      </c>
      <c r="E120" s="14" t="s">
        <v>219</v>
      </c>
      <c r="F120" s="14" t="s">
        <v>32</v>
      </c>
      <c r="G120" s="19">
        <v>40.0</v>
      </c>
      <c r="H120" s="14" t="s">
        <v>220</v>
      </c>
    </row>
    <row r="121" ht="18.0" customHeight="1">
      <c r="A121" s="14" t="s">
        <v>194</v>
      </c>
      <c r="B121" s="14" t="s">
        <v>160</v>
      </c>
      <c r="C121" s="16">
        <v>0.5</v>
      </c>
      <c r="D121" s="16">
        <v>0.5833333333333334</v>
      </c>
      <c r="E121" s="14" t="s">
        <v>221</v>
      </c>
      <c r="F121" s="14" t="s">
        <v>32</v>
      </c>
      <c r="G121" s="19">
        <v>40.0</v>
      </c>
      <c r="H121" s="14" t="s">
        <v>220</v>
      </c>
    </row>
    <row r="122" ht="18.0" customHeight="1">
      <c r="A122" s="14" t="s">
        <v>194</v>
      </c>
      <c r="B122" s="14" t="s">
        <v>160</v>
      </c>
      <c r="C122" s="16">
        <v>0.5</v>
      </c>
      <c r="D122" s="16">
        <v>0.5833333333333334</v>
      </c>
      <c r="E122" s="14" t="s">
        <v>222</v>
      </c>
      <c r="F122" s="14" t="s">
        <v>223</v>
      </c>
      <c r="G122" s="19">
        <v>37.0</v>
      </c>
      <c r="H122" s="14" t="s">
        <v>178</v>
      </c>
    </row>
    <row r="123" ht="18.0" customHeight="1">
      <c r="A123" s="8"/>
      <c r="B123" s="21"/>
      <c r="C123" s="10"/>
      <c r="D123" s="10"/>
      <c r="E123" s="21"/>
      <c r="F123" s="21"/>
      <c r="G123" s="22">
        <v>659.0</v>
      </c>
      <c r="H123" s="21"/>
    </row>
    <row r="124" ht="24.0" customHeight="1">
      <c r="A124" s="8"/>
      <c r="B124" s="9" t="s">
        <v>158</v>
      </c>
      <c r="C124" s="10"/>
      <c r="D124" s="10"/>
      <c r="E124" s="21"/>
      <c r="F124" s="23"/>
      <c r="G124" s="22"/>
      <c r="H124" s="21"/>
    </row>
    <row r="125" ht="18.0" customHeight="1">
      <c r="A125" s="14" t="s">
        <v>224</v>
      </c>
      <c r="B125" s="14" t="s">
        <v>160</v>
      </c>
      <c r="C125" s="16">
        <v>0.625</v>
      </c>
      <c r="D125" s="16">
        <v>0.7083333333333334</v>
      </c>
      <c r="E125" s="14" t="s">
        <v>225</v>
      </c>
      <c r="F125" s="14" t="s">
        <v>47</v>
      </c>
      <c r="G125" s="19">
        <v>40.0</v>
      </c>
      <c r="H125" s="14" t="s">
        <v>226</v>
      </c>
    </row>
    <row r="126" ht="18.0" customHeight="1">
      <c r="A126" s="14" t="s">
        <v>224</v>
      </c>
      <c r="B126" s="14" t="s">
        <v>160</v>
      </c>
      <c r="C126" s="16">
        <v>0.625</v>
      </c>
      <c r="D126" s="16">
        <v>0.7083333333333334</v>
      </c>
      <c r="E126" s="14" t="s">
        <v>227</v>
      </c>
      <c r="F126" s="14" t="s">
        <v>167</v>
      </c>
      <c r="G126" s="19">
        <v>40.0</v>
      </c>
      <c r="H126" s="14" t="s">
        <v>228</v>
      </c>
    </row>
    <row r="127" ht="18.0" customHeight="1">
      <c r="A127" s="14" t="s">
        <v>224</v>
      </c>
      <c r="B127" s="14" t="s">
        <v>160</v>
      </c>
      <c r="C127" s="16">
        <v>0.625</v>
      </c>
      <c r="D127" s="16">
        <v>0.7083333333333334</v>
      </c>
      <c r="E127" s="14" t="s">
        <v>229</v>
      </c>
      <c r="F127" s="14" t="s">
        <v>167</v>
      </c>
      <c r="G127" s="19">
        <v>40.0</v>
      </c>
      <c r="H127" s="14" t="s">
        <v>228</v>
      </c>
    </row>
    <row r="128" ht="18.0" customHeight="1">
      <c r="A128" s="14" t="s">
        <v>224</v>
      </c>
      <c r="B128" s="14" t="s">
        <v>160</v>
      </c>
      <c r="C128" s="16">
        <v>0.625</v>
      </c>
      <c r="D128" s="16">
        <v>0.7083333333333334</v>
      </c>
      <c r="E128" s="14" t="s">
        <v>230</v>
      </c>
      <c r="F128" s="14" t="s">
        <v>62</v>
      </c>
      <c r="G128" s="19">
        <v>40.0</v>
      </c>
      <c r="H128" s="14" t="s">
        <v>220</v>
      </c>
    </row>
    <row r="129" ht="18.0" customHeight="1">
      <c r="A129" s="14" t="s">
        <v>224</v>
      </c>
      <c r="B129" s="14" t="s">
        <v>160</v>
      </c>
      <c r="C129" s="16">
        <v>0.625</v>
      </c>
      <c r="D129" s="16">
        <v>0.7083333333333334</v>
      </c>
      <c r="E129" s="14" t="s">
        <v>231</v>
      </c>
      <c r="F129" s="14" t="s">
        <v>175</v>
      </c>
      <c r="G129" s="19">
        <v>39.0</v>
      </c>
      <c r="H129" s="14" t="s">
        <v>180</v>
      </c>
    </row>
    <row r="130" ht="18.0" customHeight="1">
      <c r="A130" s="14" t="s">
        <v>224</v>
      </c>
      <c r="B130" s="14" t="s">
        <v>160</v>
      </c>
      <c r="C130" s="16">
        <v>0.625</v>
      </c>
      <c r="D130" s="16">
        <v>0.7083333333333334</v>
      </c>
      <c r="E130" s="14" t="s">
        <v>232</v>
      </c>
      <c r="F130" s="14" t="s">
        <v>175</v>
      </c>
      <c r="G130" s="19">
        <v>42.0</v>
      </c>
      <c r="H130" s="14" t="s">
        <v>73</v>
      </c>
    </row>
    <row r="131" ht="18.0" customHeight="1">
      <c r="A131" s="14" t="s">
        <v>224</v>
      </c>
      <c r="B131" s="14" t="s">
        <v>160</v>
      </c>
      <c r="C131" s="16">
        <v>0.625</v>
      </c>
      <c r="D131" s="16">
        <v>0.7083333333333334</v>
      </c>
      <c r="E131" s="14" t="s">
        <v>233</v>
      </c>
      <c r="F131" s="14" t="s">
        <v>175</v>
      </c>
      <c r="G131" s="19">
        <v>40.0</v>
      </c>
      <c r="H131" s="14" t="s">
        <v>73</v>
      </c>
    </row>
    <row r="132" ht="18.0" customHeight="1">
      <c r="A132" s="14" t="s">
        <v>224</v>
      </c>
      <c r="B132" s="14" t="s">
        <v>160</v>
      </c>
      <c r="C132" s="16">
        <v>0.625</v>
      </c>
      <c r="D132" s="16">
        <v>0.7083333333333334</v>
      </c>
      <c r="E132" s="14" t="s">
        <v>234</v>
      </c>
      <c r="F132" s="14" t="s">
        <v>175</v>
      </c>
      <c r="G132" s="19">
        <v>40.0</v>
      </c>
      <c r="H132" s="14" t="s">
        <v>187</v>
      </c>
    </row>
    <row r="133" ht="18.0" customHeight="1">
      <c r="A133" s="24" t="s">
        <v>224</v>
      </c>
      <c r="B133" s="24" t="s">
        <v>160</v>
      </c>
      <c r="C133" s="16">
        <v>0.625</v>
      </c>
      <c r="D133" s="16">
        <v>0.7083333333333334</v>
      </c>
      <c r="E133" s="24" t="s">
        <v>235</v>
      </c>
      <c r="F133" s="24" t="s">
        <v>175</v>
      </c>
      <c r="G133" s="27">
        <v>39.0</v>
      </c>
      <c r="H133" s="24" t="s">
        <v>236</v>
      </c>
    </row>
    <row r="134" ht="18.0" customHeight="1">
      <c r="A134" s="28" t="s">
        <v>224</v>
      </c>
      <c r="B134" s="29" t="s">
        <v>160</v>
      </c>
      <c r="C134" s="30">
        <v>0.625</v>
      </c>
      <c r="D134" s="30">
        <v>0.7083333333333334</v>
      </c>
      <c r="E134" s="29" t="s">
        <v>237</v>
      </c>
      <c r="F134" s="29" t="s">
        <v>175</v>
      </c>
      <c r="G134" s="31">
        <v>40.0</v>
      </c>
      <c r="H134" s="33" t="s">
        <v>73</v>
      </c>
    </row>
    <row r="135" ht="18.0" customHeight="1">
      <c r="A135" s="17" t="s">
        <v>224</v>
      </c>
      <c r="B135" s="34" t="s">
        <v>160</v>
      </c>
      <c r="C135" s="35">
        <v>0.625</v>
      </c>
      <c r="D135" s="35">
        <v>0.7083333333333334</v>
      </c>
      <c r="E135" s="36" t="s">
        <v>238</v>
      </c>
      <c r="F135" s="37" t="s">
        <v>175</v>
      </c>
      <c r="G135" s="29">
        <v>40.0</v>
      </c>
      <c r="H135" s="29" t="s">
        <v>239</v>
      </c>
    </row>
    <row r="136" ht="18.0" customHeight="1">
      <c r="A136" s="14" t="s">
        <v>224</v>
      </c>
      <c r="B136" s="14" t="s">
        <v>160</v>
      </c>
      <c r="C136" s="16">
        <v>0.625</v>
      </c>
      <c r="D136" s="16">
        <v>0.7083333333333334</v>
      </c>
      <c r="E136" s="14" t="s">
        <v>240</v>
      </c>
      <c r="F136" s="17" t="s">
        <v>175</v>
      </c>
      <c r="G136" s="18">
        <v>40.0</v>
      </c>
      <c r="H136" s="17" t="s">
        <v>241</v>
      </c>
    </row>
    <row r="137" ht="18.0" customHeight="1">
      <c r="A137" s="14" t="s">
        <v>224</v>
      </c>
      <c r="B137" s="14" t="s">
        <v>160</v>
      </c>
      <c r="C137" s="16">
        <v>0.625</v>
      </c>
      <c r="D137" s="16">
        <v>0.7083333333333334</v>
      </c>
      <c r="E137" s="14" t="s">
        <v>242</v>
      </c>
      <c r="F137" s="14" t="s">
        <v>126</v>
      </c>
      <c r="G137" s="19">
        <v>38.0</v>
      </c>
      <c r="H137" s="14" t="s">
        <v>243</v>
      </c>
    </row>
    <row r="138" ht="18.0" customHeight="1">
      <c r="A138" s="8"/>
      <c r="B138" s="21"/>
      <c r="C138" s="10"/>
      <c r="D138" s="10"/>
      <c r="E138" s="21"/>
      <c r="F138" s="21"/>
      <c r="G138" s="22">
        <v>518.0</v>
      </c>
      <c r="H138" s="21"/>
    </row>
    <row r="139" ht="24.0" customHeight="1">
      <c r="A139" s="8"/>
      <c r="B139" s="9" t="s">
        <v>244</v>
      </c>
      <c r="C139" s="10"/>
      <c r="D139" s="10"/>
      <c r="E139" s="21"/>
      <c r="F139" s="23"/>
      <c r="G139" s="22"/>
      <c r="H139" s="21"/>
    </row>
    <row r="140" ht="18.0" customHeight="1">
      <c r="A140" s="14" t="s">
        <v>245</v>
      </c>
      <c r="B140" s="14" t="s">
        <v>246</v>
      </c>
      <c r="C140" s="16">
        <v>0.375</v>
      </c>
      <c r="D140" s="16">
        <v>0.4583333333333333</v>
      </c>
      <c r="E140" s="14" t="s">
        <v>247</v>
      </c>
      <c r="F140" s="14" t="s">
        <v>167</v>
      </c>
      <c r="G140" s="19">
        <v>33.0</v>
      </c>
      <c r="H140" s="14" t="s">
        <v>248</v>
      </c>
    </row>
    <row r="141" ht="18.0" customHeight="1">
      <c r="A141" s="14" t="s">
        <v>245</v>
      </c>
      <c r="B141" s="14" t="s">
        <v>246</v>
      </c>
      <c r="C141" s="16">
        <v>0.375</v>
      </c>
      <c r="D141" s="16">
        <v>0.4583333333333333</v>
      </c>
      <c r="E141" s="14" t="s">
        <v>249</v>
      </c>
      <c r="F141" s="14" t="s">
        <v>167</v>
      </c>
      <c r="G141" s="19">
        <v>40.0</v>
      </c>
      <c r="H141" s="14" t="s">
        <v>248</v>
      </c>
    </row>
    <row r="142" ht="18.0" customHeight="1">
      <c r="A142" s="14" t="s">
        <v>245</v>
      </c>
      <c r="B142" s="14" t="s">
        <v>246</v>
      </c>
      <c r="C142" s="16">
        <v>0.375</v>
      </c>
      <c r="D142" s="16">
        <v>0.4583333333333333</v>
      </c>
      <c r="E142" s="14" t="s">
        <v>250</v>
      </c>
      <c r="F142" s="14" t="s">
        <v>62</v>
      </c>
      <c r="G142" s="19">
        <v>40.0</v>
      </c>
      <c r="H142" s="14" t="s">
        <v>21</v>
      </c>
    </row>
    <row r="143" ht="18.0" customHeight="1">
      <c r="A143" s="14" t="s">
        <v>245</v>
      </c>
      <c r="B143" s="14" t="s">
        <v>246</v>
      </c>
      <c r="C143" s="16">
        <v>0.375</v>
      </c>
      <c r="D143" s="16">
        <v>0.4583333333333333</v>
      </c>
      <c r="E143" s="14" t="s">
        <v>251</v>
      </c>
      <c r="F143" s="14" t="s">
        <v>62</v>
      </c>
      <c r="G143" s="19">
        <v>40.0</v>
      </c>
      <c r="H143" s="14" t="s">
        <v>21</v>
      </c>
    </row>
    <row r="144" ht="18.0" customHeight="1">
      <c r="A144" s="14" t="s">
        <v>245</v>
      </c>
      <c r="B144" s="14" t="s">
        <v>246</v>
      </c>
      <c r="C144" s="16">
        <v>0.375</v>
      </c>
      <c r="D144" s="16">
        <v>0.4583333333333333</v>
      </c>
      <c r="E144" s="14" t="s">
        <v>252</v>
      </c>
      <c r="F144" s="14" t="s">
        <v>35</v>
      </c>
      <c r="G144" s="19">
        <v>40.0</v>
      </c>
      <c r="H144" s="14" t="s">
        <v>36</v>
      </c>
    </row>
    <row r="145" ht="18.0" customHeight="1">
      <c r="A145" s="14" t="s">
        <v>245</v>
      </c>
      <c r="B145" s="14" t="s">
        <v>246</v>
      </c>
      <c r="C145" s="16">
        <v>0.375</v>
      </c>
      <c r="D145" s="16">
        <v>0.4583333333333333</v>
      </c>
      <c r="E145" s="14" t="s">
        <v>253</v>
      </c>
      <c r="F145" s="14" t="s">
        <v>100</v>
      </c>
      <c r="G145" s="19">
        <v>40.0</v>
      </c>
      <c r="H145" s="14" t="s">
        <v>254</v>
      </c>
    </row>
    <row r="146" ht="18.0" customHeight="1">
      <c r="A146" s="14" t="s">
        <v>245</v>
      </c>
      <c r="B146" s="14" t="s">
        <v>246</v>
      </c>
      <c r="C146" s="16">
        <v>0.375</v>
      </c>
      <c r="D146" s="16">
        <v>0.4583333333333333</v>
      </c>
      <c r="E146" s="14" t="s">
        <v>255</v>
      </c>
      <c r="F146" s="14" t="s">
        <v>100</v>
      </c>
      <c r="G146" s="19">
        <v>39.0</v>
      </c>
      <c r="H146" s="14" t="s">
        <v>256</v>
      </c>
    </row>
    <row r="147" ht="18.0" customHeight="1">
      <c r="A147" s="14" t="s">
        <v>245</v>
      </c>
      <c r="B147" s="14" t="s">
        <v>246</v>
      </c>
      <c r="C147" s="16">
        <v>0.375</v>
      </c>
      <c r="D147" s="16">
        <v>0.4583333333333333</v>
      </c>
      <c r="E147" s="14" t="s">
        <v>257</v>
      </c>
      <c r="F147" s="14" t="s">
        <v>100</v>
      </c>
      <c r="G147" s="19">
        <v>38.0</v>
      </c>
      <c r="H147" s="14" t="s">
        <v>256</v>
      </c>
    </row>
    <row r="148" ht="18.0" customHeight="1">
      <c r="A148" s="14" t="s">
        <v>245</v>
      </c>
      <c r="B148" s="14" t="s">
        <v>246</v>
      </c>
      <c r="C148" s="16">
        <v>0.375</v>
      </c>
      <c r="D148" s="16">
        <v>0.4583333333333333</v>
      </c>
      <c r="E148" s="14" t="s">
        <v>258</v>
      </c>
      <c r="F148" s="14" t="s">
        <v>78</v>
      </c>
      <c r="G148" s="19">
        <v>40.0</v>
      </c>
      <c r="H148" s="14" t="s">
        <v>259</v>
      </c>
    </row>
    <row r="149" ht="18.0" customHeight="1">
      <c r="A149" s="14" t="s">
        <v>245</v>
      </c>
      <c r="B149" s="14" t="s">
        <v>246</v>
      </c>
      <c r="C149" s="16">
        <v>0.375</v>
      </c>
      <c r="D149" s="16">
        <v>0.4583333333333333</v>
      </c>
      <c r="E149" s="14" t="s">
        <v>260</v>
      </c>
      <c r="F149" s="14" t="s">
        <v>261</v>
      </c>
      <c r="G149" s="19">
        <v>40.0</v>
      </c>
      <c r="H149" s="14" t="s">
        <v>262</v>
      </c>
    </row>
    <row r="150" ht="18.0" customHeight="1">
      <c r="A150" s="14" t="s">
        <v>245</v>
      </c>
      <c r="B150" s="14" t="s">
        <v>246</v>
      </c>
      <c r="C150" s="16">
        <v>0.375</v>
      </c>
      <c r="D150" s="16">
        <v>0.4583333333333333</v>
      </c>
      <c r="E150" s="14" t="s">
        <v>263</v>
      </c>
      <c r="F150" s="14" t="s">
        <v>261</v>
      </c>
      <c r="G150" s="19">
        <v>39.0</v>
      </c>
      <c r="H150" s="14" t="s">
        <v>262</v>
      </c>
    </row>
    <row r="151" ht="18.0" customHeight="1">
      <c r="A151" s="14" t="s">
        <v>245</v>
      </c>
      <c r="B151" s="14" t="s">
        <v>246</v>
      </c>
      <c r="C151" s="16">
        <v>0.375</v>
      </c>
      <c r="D151" s="16">
        <v>0.4583333333333333</v>
      </c>
      <c r="E151" s="14" t="s">
        <v>264</v>
      </c>
      <c r="F151" s="14" t="s">
        <v>261</v>
      </c>
      <c r="G151" s="19">
        <v>40.0</v>
      </c>
      <c r="H151" s="14" t="s">
        <v>262</v>
      </c>
    </row>
    <row r="152" ht="18.0" customHeight="1">
      <c r="A152" s="24" t="s">
        <v>245</v>
      </c>
      <c r="B152" s="24" t="s">
        <v>246</v>
      </c>
      <c r="C152" s="25">
        <v>0.375</v>
      </c>
      <c r="D152" s="25">
        <v>0.4583333333333333</v>
      </c>
      <c r="E152" s="24" t="s">
        <v>265</v>
      </c>
      <c r="F152" s="24" t="s">
        <v>266</v>
      </c>
      <c r="G152" s="27">
        <v>36.0</v>
      </c>
      <c r="H152" s="24" t="s">
        <v>267</v>
      </c>
    </row>
    <row r="153" ht="18.0" customHeight="1">
      <c r="A153" s="28" t="s">
        <v>245</v>
      </c>
      <c r="B153" s="29" t="s">
        <v>246</v>
      </c>
      <c r="C153" s="30">
        <v>0.375</v>
      </c>
      <c r="D153" s="30">
        <v>0.4583333333333333</v>
      </c>
      <c r="E153" s="29" t="s">
        <v>268</v>
      </c>
      <c r="F153" s="29" t="s">
        <v>113</v>
      </c>
      <c r="G153" s="31">
        <v>40.0</v>
      </c>
      <c r="H153" s="33" t="s">
        <v>269</v>
      </c>
    </row>
    <row r="154" ht="18.0" customHeight="1">
      <c r="A154" s="17" t="s">
        <v>245</v>
      </c>
      <c r="B154" s="34" t="s">
        <v>246</v>
      </c>
      <c r="C154" s="35">
        <v>0.375</v>
      </c>
      <c r="D154" s="35">
        <v>0.4583333333333333</v>
      </c>
      <c r="E154" s="36" t="s">
        <v>270</v>
      </c>
      <c r="F154" s="37" t="s">
        <v>266</v>
      </c>
      <c r="G154" s="29">
        <v>29.0</v>
      </c>
      <c r="H154" s="29" t="s">
        <v>271</v>
      </c>
    </row>
    <row r="155" ht="18.0" customHeight="1">
      <c r="A155" s="14" t="s">
        <v>245</v>
      </c>
      <c r="B155" s="14" t="s">
        <v>246</v>
      </c>
      <c r="C155" s="16">
        <v>0.375</v>
      </c>
      <c r="D155" s="16">
        <v>0.4583333333333333</v>
      </c>
      <c r="E155" s="14" t="s">
        <v>272</v>
      </c>
      <c r="F155" s="17" t="s">
        <v>266</v>
      </c>
      <c r="G155" s="18">
        <v>31.0</v>
      </c>
      <c r="H155" s="17" t="s">
        <v>271</v>
      </c>
    </row>
    <row r="156" ht="18.0" customHeight="1">
      <c r="A156" s="8"/>
      <c r="B156" s="21"/>
      <c r="C156" s="10"/>
      <c r="D156" s="10"/>
      <c r="E156" s="21"/>
      <c r="F156" s="21"/>
      <c r="G156" s="22">
        <v>605.0</v>
      </c>
      <c r="H156" s="21"/>
    </row>
    <row r="157" ht="24.0" customHeight="1">
      <c r="A157" s="8"/>
      <c r="B157" s="9" t="s">
        <v>244</v>
      </c>
      <c r="C157" s="10"/>
      <c r="D157" s="10"/>
      <c r="E157" s="21"/>
      <c r="F157" s="23"/>
      <c r="G157" s="22"/>
      <c r="H157" s="21"/>
    </row>
    <row r="158" ht="18.0" customHeight="1">
      <c r="A158" s="14" t="s">
        <v>273</v>
      </c>
      <c r="B158" s="14" t="s">
        <v>246</v>
      </c>
      <c r="C158" s="16">
        <v>0.5</v>
      </c>
      <c r="D158" s="16">
        <v>0.5833333333333334</v>
      </c>
      <c r="E158" s="14" t="s">
        <v>274</v>
      </c>
      <c r="F158" s="14" t="s">
        <v>275</v>
      </c>
      <c r="G158" s="19">
        <v>40.0</v>
      </c>
      <c r="H158" s="14" t="s">
        <v>276</v>
      </c>
    </row>
    <row r="159" ht="18.0" customHeight="1">
      <c r="A159" s="14" t="s">
        <v>273</v>
      </c>
      <c r="B159" s="14" t="s">
        <v>246</v>
      </c>
      <c r="C159" s="16">
        <v>0.5</v>
      </c>
      <c r="D159" s="16">
        <v>0.5833333333333334</v>
      </c>
      <c r="E159" s="14" t="s">
        <v>277</v>
      </c>
      <c r="F159" s="14" t="s">
        <v>275</v>
      </c>
      <c r="G159" s="19">
        <v>40.0</v>
      </c>
      <c r="H159" s="14" t="s">
        <v>276</v>
      </c>
    </row>
    <row r="160" ht="18.0" customHeight="1">
      <c r="A160" s="14" t="s">
        <v>273</v>
      </c>
      <c r="B160" s="14" t="s">
        <v>246</v>
      </c>
      <c r="C160" s="16">
        <v>0.5</v>
      </c>
      <c r="D160" s="16">
        <v>0.5833333333333334</v>
      </c>
      <c r="E160" s="14" t="s">
        <v>278</v>
      </c>
      <c r="F160" s="14" t="s">
        <v>279</v>
      </c>
      <c r="G160" s="19">
        <v>40.0</v>
      </c>
      <c r="H160" s="14" t="s">
        <v>280</v>
      </c>
    </row>
    <row r="161" ht="18.0" customHeight="1">
      <c r="A161" s="14" t="s">
        <v>273</v>
      </c>
      <c r="B161" s="14" t="s">
        <v>246</v>
      </c>
      <c r="C161" s="16">
        <v>0.5</v>
      </c>
      <c r="D161" s="16">
        <v>0.5833333333333334</v>
      </c>
      <c r="E161" s="14" t="s">
        <v>281</v>
      </c>
      <c r="F161" s="14" t="s">
        <v>279</v>
      </c>
      <c r="G161" s="19">
        <v>37.0</v>
      </c>
      <c r="H161" s="14" t="s">
        <v>280</v>
      </c>
    </row>
    <row r="162" ht="18.0" customHeight="1">
      <c r="A162" s="14" t="s">
        <v>273</v>
      </c>
      <c r="B162" s="14" t="s">
        <v>246</v>
      </c>
      <c r="C162" s="16">
        <v>0.5</v>
      </c>
      <c r="D162" s="16">
        <v>0.5833333333333334</v>
      </c>
      <c r="E162" s="14" t="s">
        <v>282</v>
      </c>
      <c r="F162" s="14" t="s">
        <v>23</v>
      </c>
      <c r="G162" s="19">
        <v>28.0</v>
      </c>
      <c r="H162" s="14" t="s">
        <v>283</v>
      </c>
    </row>
    <row r="163" ht="18.0" customHeight="1">
      <c r="A163" s="14" t="s">
        <v>273</v>
      </c>
      <c r="B163" s="14" t="s">
        <v>246</v>
      </c>
      <c r="C163" s="16">
        <v>0.5</v>
      </c>
      <c r="D163" s="16">
        <v>0.5833333333333334</v>
      </c>
      <c r="E163" s="14" t="s">
        <v>284</v>
      </c>
      <c r="F163" s="14" t="s">
        <v>23</v>
      </c>
      <c r="G163" s="19">
        <v>38.0</v>
      </c>
      <c r="H163" s="14" t="s">
        <v>283</v>
      </c>
    </row>
    <row r="164" ht="18.0" customHeight="1">
      <c r="A164" s="14" t="s">
        <v>273</v>
      </c>
      <c r="B164" s="14" t="s">
        <v>246</v>
      </c>
      <c r="C164" s="16">
        <v>0.5</v>
      </c>
      <c r="D164" s="16">
        <v>0.5833333333333334</v>
      </c>
      <c r="E164" s="14" t="s">
        <v>285</v>
      </c>
      <c r="F164" s="14" t="s">
        <v>26</v>
      </c>
      <c r="G164" s="19">
        <v>40.0</v>
      </c>
      <c r="H164" s="14" t="s">
        <v>286</v>
      </c>
    </row>
    <row r="165" ht="18.0" customHeight="1">
      <c r="A165" s="14" t="s">
        <v>273</v>
      </c>
      <c r="B165" s="14" t="s">
        <v>246</v>
      </c>
      <c r="C165" s="16">
        <v>0.5</v>
      </c>
      <c r="D165" s="16">
        <v>0.5833333333333334</v>
      </c>
      <c r="E165" s="14" t="s">
        <v>287</v>
      </c>
      <c r="F165" s="14" t="s">
        <v>32</v>
      </c>
      <c r="G165" s="19">
        <v>39.0</v>
      </c>
      <c r="H165" s="14" t="s">
        <v>288</v>
      </c>
    </row>
    <row r="166" ht="18.0" customHeight="1">
      <c r="A166" s="14" t="s">
        <v>273</v>
      </c>
      <c r="B166" s="14" t="s">
        <v>246</v>
      </c>
      <c r="C166" s="16">
        <v>0.5</v>
      </c>
      <c r="D166" s="16">
        <v>0.5833333333333334</v>
      </c>
      <c r="E166" s="14" t="s">
        <v>289</v>
      </c>
      <c r="F166" s="14" t="s">
        <v>78</v>
      </c>
      <c r="G166" s="19">
        <v>40.0</v>
      </c>
      <c r="H166" s="14" t="s">
        <v>290</v>
      </c>
    </row>
    <row r="167" ht="18.0" customHeight="1">
      <c r="A167" s="8"/>
      <c r="B167" s="21"/>
      <c r="C167" s="10"/>
      <c r="D167" s="10"/>
      <c r="E167" s="21"/>
      <c r="F167" s="21"/>
      <c r="G167" s="22">
        <v>342.0</v>
      </c>
      <c r="H167" s="21"/>
    </row>
    <row r="168" ht="24.0" customHeight="1">
      <c r="A168" s="8"/>
      <c r="B168" s="9" t="s">
        <v>244</v>
      </c>
      <c r="C168" s="10"/>
      <c r="D168" s="10"/>
      <c r="E168" s="21"/>
      <c r="F168" s="23"/>
      <c r="G168" s="22"/>
      <c r="H168" s="21"/>
    </row>
    <row r="169" ht="18.0" customHeight="1">
      <c r="A169" s="14" t="s">
        <v>291</v>
      </c>
      <c r="B169" s="14" t="s">
        <v>246</v>
      </c>
      <c r="C169" s="16">
        <v>0.625</v>
      </c>
      <c r="D169" s="16">
        <v>0.7083333333333334</v>
      </c>
      <c r="E169" s="14" t="s">
        <v>292</v>
      </c>
      <c r="F169" s="14" t="s">
        <v>162</v>
      </c>
      <c r="G169" s="19">
        <v>24.0</v>
      </c>
      <c r="H169" s="14" t="s">
        <v>293</v>
      </c>
    </row>
    <row r="170" ht="18.0" customHeight="1">
      <c r="A170" s="14" t="s">
        <v>291</v>
      </c>
      <c r="B170" s="14" t="s">
        <v>246</v>
      </c>
      <c r="C170" s="16">
        <v>0.625</v>
      </c>
      <c r="D170" s="16">
        <v>0.7083333333333334</v>
      </c>
      <c r="E170" s="14" t="s">
        <v>294</v>
      </c>
      <c r="F170" s="14" t="s">
        <v>87</v>
      </c>
      <c r="G170" s="19">
        <v>40.0</v>
      </c>
      <c r="H170" s="14" t="s">
        <v>295</v>
      </c>
    </row>
    <row r="171" ht="18.0" customHeight="1">
      <c r="A171" s="14" t="s">
        <v>291</v>
      </c>
      <c r="B171" s="14" t="s">
        <v>246</v>
      </c>
      <c r="C171" s="16">
        <v>0.625</v>
      </c>
      <c r="D171" s="16">
        <v>0.7083333333333334</v>
      </c>
      <c r="E171" s="14" t="s">
        <v>296</v>
      </c>
      <c r="F171" s="14" t="s">
        <v>87</v>
      </c>
      <c r="G171" s="19">
        <v>40.0</v>
      </c>
      <c r="H171" s="14" t="s">
        <v>295</v>
      </c>
    </row>
    <row r="172" ht="18.0" customHeight="1">
      <c r="A172" s="14" t="s">
        <v>291</v>
      </c>
      <c r="B172" s="14" t="s">
        <v>246</v>
      </c>
      <c r="C172" s="16">
        <v>0.625</v>
      </c>
      <c r="D172" s="16">
        <v>0.7083333333333334</v>
      </c>
      <c r="E172" s="14" t="s">
        <v>297</v>
      </c>
      <c r="F172" s="14" t="s">
        <v>87</v>
      </c>
      <c r="G172" s="19">
        <v>33.0</v>
      </c>
      <c r="H172" s="14" t="s">
        <v>298</v>
      </c>
    </row>
    <row r="173" ht="18.0" customHeight="1">
      <c r="A173" s="14" t="s">
        <v>291</v>
      </c>
      <c r="B173" s="14" t="s">
        <v>246</v>
      </c>
      <c r="C173" s="16">
        <v>0.625</v>
      </c>
      <c r="D173" s="16">
        <v>0.7083333333333334</v>
      </c>
      <c r="E173" s="14" t="s">
        <v>299</v>
      </c>
      <c r="F173" s="14" t="s">
        <v>261</v>
      </c>
      <c r="G173" s="19">
        <v>39.0</v>
      </c>
      <c r="H173" s="14" t="s">
        <v>300</v>
      </c>
    </row>
    <row r="174" ht="18.0" customHeight="1">
      <c r="A174" s="24" t="s">
        <v>291</v>
      </c>
      <c r="B174" s="24" t="s">
        <v>246</v>
      </c>
      <c r="C174" s="25">
        <v>0.625</v>
      </c>
      <c r="D174" s="16">
        <v>0.7083333333333334</v>
      </c>
      <c r="E174" s="24" t="s">
        <v>301</v>
      </c>
      <c r="F174" s="24" t="s">
        <v>261</v>
      </c>
      <c r="G174" s="27">
        <v>40.0</v>
      </c>
      <c r="H174" s="24" t="s">
        <v>300</v>
      </c>
    </row>
    <row r="175" ht="18.0" customHeight="1">
      <c r="A175" s="28" t="s">
        <v>291</v>
      </c>
      <c r="B175" s="29" t="s">
        <v>246</v>
      </c>
      <c r="C175" s="30">
        <v>0.625</v>
      </c>
      <c r="D175" s="30">
        <v>0.7083333333333334</v>
      </c>
      <c r="E175" s="29" t="s">
        <v>302</v>
      </c>
      <c r="F175" s="29" t="s">
        <v>261</v>
      </c>
      <c r="G175" s="31">
        <v>40.0</v>
      </c>
      <c r="H175" s="33" t="s">
        <v>300</v>
      </c>
    </row>
    <row r="176" ht="18.0" customHeight="1">
      <c r="A176" s="17" t="s">
        <v>291</v>
      </c>
      <c r="B176" s="34" t="s">
        <v>246</v>
      </c>
      <c r="C176" s="35">
        <v>0.625</v>
      </c>
      <c r="D176" s="35">
        <v>0.7083333333333334</v>
      </c>
      <c r="E176" s="36" t="s">
        <v>303</v>
      </c>
      <c r="F176" s="37" t="s">
        <v>266</v>
      </c>
      <c r="G176" s="29">
        <v>40.0</v>
      </c>
      <c r="H176" s="29" t="s">
        <v>304</v>
      </c>
    </row>
    <row r="177" ht="18.0" customHeight="1">
      <c r="A177" s="14" t="s">
        <v>291</v>
      </c>
      <c r="B177" s="14" t="s">
        <v>246</v>
      </c>
      <c r="C177" s="16">
        <v>0.625</v>
      </c>
      <c r="D177" s="16">
        <v>0.7083333333333334</v>
      </c>
      <c r="E177" s="14" t="s">
        <v>305</v>
      </c>
      <c r="F177" s="17" t="s">
        <v>266</v>
      </c>
      <c r="G177" s="18">
        <v>40.0</v>
      </c>
      <c r="H177" s="17" t="s">
        <v>306</v>
      </c>
    </row>
    <row r="178" ht="18.0" customHeight="1">
      <c r="A178" s="14" t="s">
        <v>291</v>
      </c>
      <c r="B178" s="14" t="s">
        <v>246</v>
      </c>
      <c r="C178" s="16">
        <v>0.625</v>
      </c>
      <c r="D178" s="16">
        <v>0.7083333333333334</v>
      </c>
      <c r="E178" s="14" t="s">
        <v>307</v>
      </c>
      <c r="F178" s="14" t="s">
        <v>266</v>
      </c>
      <c r="G178" s="19">
        <v>40.0</v>
      </c>
      <c r="H178" s="14" t="s">
        <v>306</v>
      </c>
    </row>
    <row r="179" ht="18.0" customHeight="1">
      <c r="A179" s="14" t="s">
        <v>291</v>
      </c>
      <c r="B179" s="14" t="s">
        <v>246</v>
      </c>
      <c r="C179" s="16">
        <v>0.625</v>
      </c>
      <c r="D179" s="16">
        <v>0.7083333333333334</v>
      </c>
      <c r="E179" s="14" t="s">
        <v>308</v>
      </c>
      <c r="F179" s="14" t="s">
        <v>266</v>
      </c>
      <c r="G179" s="19">
        <v>40.0</v>
      </c>
      <c r="H179" s="14" t="s">
        <v>306</v>
      </c>
    </row>
    <row r="180" ht="18.0" customHeight="1">
      <c r="A180" s="14" t="s">
        <v>291</v>
      </c>
      <c r="B180" s="14" t="s">
        <v>246</v>
      </c>
      <c r="C180" s="16">
        <v>0.625</v>
      </c>
      <c r="D180" s="16">
        <v>0.7083333333333334</v>
      </c>
      <c r="E180" s="14" t="s">
        <v>309</v>
      </c>
      <c r="F180" s="14" t="s">
        <v>266</v>
      </c>
      <c r="G180" s="19">
        <v>40.0</v>
      </c>
      <c r="H180" s="14" t="s">
        <v>306</v>
      </c>
    </row>
    <row r="181" ht="18.0" customHeight="1">
      <c r="A181" s="14" t="s">
        <v>291</v>
      </c>
      <c r="B181" s="14" t="s">
        <v>246</v>
      </c>
      <c r="C181" s="16">
        <v>0.625</v>
      </c>
      <c r="D181" s="16">
        <v>0.7083333333333334</v>
      </c>
      <c r="E181" s="14" t="s">
        <v>310</v>
      </c>
      <c r="F181" s="14" t="s">
        <v>266</v>
      </c>
      <c r="G181" s="19">
        <v>40.0</v>
      </c>
      <c r="H181" s="14" t="s">
        <v>311</v>
      </c>
    </row>
    <row r="182" ht="18.0" customHeight="1">
      <c r="A182" s="14" t="s">
        <v>291</v>
      </c>
      <c r="B182" s="14" t="s">
        <v>246</v>
      </c>
      <c r="C182" s="16">
        <v>0.625</v>
      </c>
      <c r="D182" s="16">
        <v>0.7083333333333334</v>
      </c>
      <c r="E182" s="14" t="s">
        <v>312</v>
      </c>
      <c r="F182" s="14" t="s">
        <v>266</v>
      </c>
      <c r="G182" s="19">
        <v>40.0</v>
      </c>
      <c r="H182" s="14" t="s">
        <v>304</v>
      </c>
    </row>
    <row r="183" ht="18.0" customHeight="1">
      <c r="A183" s="14" t="s">
        <v>291</v>
      </c>
      <c r="B183" s="14" t="s">
        <v>246</v>
      </c>
      <c r="C183" s="16">
        <v>0.625</v>
      </c>
      <c r="D183" s="16">
        <v>0.7083333333333334</v>
      </c>
      <c r="E183" s="14" t="s">
        <v>313</v>
      </c>
      <c r="F183" s="14" t="s">
        <v>130</v>
      </c>
      <c r="G183" s="19">
        <v>39.0</v>
      </c>
      <c r="H183" s="14" t="s">
        <v>314</v>
      </c>
    </row>
    <row r="184" ht="18.0" customHeight="1">
      <c r="A184" s="14" t="s">
        <v>291</v>
      </c>
      <c r="B184" s="14" t="s">
        <v>246</v>
      </c>
      <c r="C184" s="16">
        <v>0.625</v>
      </c>
      <c r="D184" s="16">
        <v>0.7083333333333334</v>
      </c>
      <c r="E184" s="14" t="s">
        <v>315</v>
      </c>
      <c r="F184" s="14" t="s">
        <v>130</v>
      </c>
      <c r="G184" s="19">
        <v>39.0</v>
      </c>
      <c r="H184" s="14" t="s">
        <v>314</v>
      </c>
    </row>
    <row r="185" ht="18.0" customHeight="1">
      <c r="A185" s="14" t="s">
        <v>291</v>
      </c>
      <c r="B185" s="14" t="s">
        <v>246</v>
      </c>
      <c r="C185" s="16">
        <v>0.625</v>
      </c>
      <c r="D185" s="16">
        <v>0.7083333333333334</v>
      </c>
      <c r="E185" s="14" t="s">
        <v>316</v>
      </c>
      <c r="F185" s="14" t="s">
        <v>130</v>
      </c>
      <c r="G185" s="19">
        <v>40.0</v>
      </c>
      <c r="H185" s="14" t="s">
        <v>317</v>
      </c>
    </row>
    <row r="186" ht="18.0" customHeight="1">
      <c r="A186" s="14" t="s">
        <v>291</v>
      </c>
      <c r="B186" s="14" t="s">
        <v>246</v>
      </c>
      <c r="C186" s="16">
        <v>0.625</v>
      </c>
      <c r="D186" s="16">
        <v>0.7083333333333334</v>
      </c>
      <c r="E186" s="14" t="s">
        <v>318</v>
      </c>
      <c r="F186" s="14" t="s">
        <v>130</v>
      </c>
      <c r="G186" s="19">
        <v>40.0</v>
      </c>
      <c r="H186" s="14" t="s">
        <v>319</v>
      </c>
    </row>
    <row r="187" ht="18.0" customHeight="1">
      <c r="A187" s="14" t="s">
        <v>291</v>
      </c>
      <c r="B187" s="14" t="s">
        <v>246</v>
      </c>
      <c r="C187" s="16">
        <v>0.625</v>
      </c>
      <c r="D187" s="16">
        <v>0.7083333333333334</v>
      </c>
      <c r="E187" s="14" t="s">
        <v>320</v>
      </c>
      <c r="F187" s="14" t="s">
        <v>130</v>
      </c>
      <c r="G187" s="19">
        <v>40.0</v>
      </c>
      <c r="H187" s="14" t="s">
        <v>319</v>
      </c>
    </row>
    <row r="188" ht="18.0" customHeight="1">
      <c r="A188" s="8"/>
      <c r="B188" s="21"/>
      <c r="C188" s="10"/>
      <c r="D188" s="10"/>
      <c r="E188" s="21"/>
      <c r="F188" s="21"/>
      <c r="G188" s="22">
        <v>734.0</v>
      </c>
      <c r="H188" s="21"/>
    </row>
    <row r="189" ht="24.0" customHeight="1">
      <c r="A189" s="8"/>
      <c r="B189" s="9" t="s">
        <v>321</v>
      </c>
      <c r="C189" s="10"/>
      <c r="D189" s="10"/>
      <c r="E189" s="21"/>
      <c r="F189" s="23"/>
      <c r="G189" s="22"/>
      <c r="H189" s="21"/>
    </row>
    <row r="190" ht="18.0" customHeight="1">
      <c r="A190" s="28" t="s">
        <v>322</v>
      </c>
      <c r="B190" s="29" t="s">
        <v>323</v>
      </c>
      <c r="C190" s="30">
        <v>0.375</v>
      </c>
      <c r="D190" s="30">
        <v>0.4583333333333333</v>
      </c>
      <c r="E190" s="29" t="s">
        <v>324</v>
      </c>
      <c r="F190" s="29" t="s">
        <v>18</v>
      </c>
      <c r="G190" s="31">
        <v>36.0</v>
      </c>
      <c r="H190" s="33" t="s">
        <v>21</v>
      </c>
    </row>
    <row r="191" ht="18.0" customHeight="1">
      <c r="A191" s="17" t="s">
        <v>322</v>
      </c>
      <c r="B191" s="34" t="s">
        <v>323</v>
      </c>
      <c r="C191" s="35">
        <v>0.375</v>
      </c>
      <c r="D191" s="35">
        <v>0.4583333333333333</v>
      </c>
      <c r="E191" s="36" t="s">
        <v>325</v>
      </c>
      <c r="F191" s="37" t="s">
        <v>56</v>
      </c>
      <c r="G191" s="29">
        <v>38.0</v>
      </c>
      <c r="H191" s="29" t="s">
        <v>326</v>
      </c>
    </row>
    <row r="192" ht="18.0" customHeight="1">
      <c r="A192" s="14" t="s">
        <v>322</v>
      </c>
      <c r="B192" s="14" t="s">
        <v>323</v>
      </c>
      <c r="C192" s="16">
        <v>0.375</v>
      </c>
      <c r="D192" s="16">
        <v>0.4583333333333333</v>
      </c>
      <c r="E192" s="14" t="s">
        <v>327</v>
      </c>
      <c r="F192" s="17" t="s">
        <v>56</v>
      </c>
      <c r="G192" s="18">
        <v>40.0</v>
      </c>
      <c r="H192" s="17" t="s">
        <v>326</v>
      </c>
    </row>
    <row r="193" ht="18.0" customHeight="1">
      <c r="A193" s="14" t="s">
        <v>322</v>
      </c>
      <c r="B193" s="14" t="s">
        <v>323</v>
      </c>
      <c r="C193" s="16">
        <v>0.375</v>
      </c>
      <c r="D193" s="16">
        <v>0.4583333333333333</v>
      </c>
      <c r="E193" s="14" t="s">
        <v>328</v>
      </c>
      <c r="F193" s="14" t="s">
        <v>56</v>
      </c>
      <c r="G193" s="19">
        <v>1.0</v>
      </c>
      <c r="H193" s="14" t="s">
        <v>326</v>
      </c>
    </row>
    <row r="194" ht="18.0" customHeight="1">
      <c r="A194" s="14" t="s">
        <v>322</v>
      </c>
      <c r="B194" s="14" t="s">
        <v>323</v>
      </c>
      <c r="C194" s="16">
        <v>0.375</v>
      </c>
      <c r="D194" s="16">
        <v>0.4583333333333333</v>
      </c>
      <c r="E194" s="14" t="s">
        <v>329</v>
      </c>
      <c r="F194" s="14" t="s">
        <v>32</v>
      </c>
      <c r="G194" s="19">
        <v>39.0</v>
      </c>
      <c r="H194" s="14" t="s">
        <v>330</v>
      </c>
    </row>
    <row r="195" ht="18.0" customHeight="1">
      <c r="A195" s="14" t="s">
        <v>322</v>
      </c>
      <c r="B195" s="14" t="s">
        <v>323</v>
      </c>
      <c r="C195" s="16">
        <v>0.375</v>
      </c>
      <c r="D195" s="16">
        <v>0.4583333333333333</v>
      </c>
      <c r="E195" s="14" t="s">
        <v>331</v>
      </c>
      <c r="F195" s="14" t="s">
        <v>32</v>
      </c>
      <c r="G195" s="19">
        <v>40.0</v>
      </c>
      <c r="H195" s="14" t="s">
        <v>330</v>
      </c>
    </row>
    <row r="196" ht="18.0" customHeight="1">
      <c r="A196" s="14" t="s">
        <v>322</v>
      </c>
      <c r="B196" s="14" t="s">
        <v>323</v>
      </c>
      <c r="C196" s="16">
        <v>0.375</v>
      </c>
      <c r="D196" s="16">
        <v>0.4583333333333333</v>
      </c>
      <c r="E196" s="14" t="s">
        <v>332</v>
      </c>
      <c r="F196" s="14" t="s">
        <v>106</v>
      </c>
      <c r="G196" s="19">
        <v>40.0</v>
      </c>
      <c r="H196" s="14" t="s">
        <v>333</v>
      </c>
    </row>
    <row r="197" ht="18.0" customHeight="1">
      <c r="A197" s="14" t="s">
        <v>322</v>
      </c>
      <c r="B197" s="14" t="s">
        <v>323</v>
      </c>
      <c r="C197" s="16">
        <v>0.375</v>
      </c>
      <c r="D197" s="16">
        <v>0.4583333333333333</v>
      </c>
      <c r="E197" s="14" t="s">
        <v>334</v>
      </c>
      <c r="F197" s="14" t="s">
        <v>335</v>
      </c>
      <c r="G197" s="19">
        <v>38.0</v>
      </c>
      <c r="H197" s="14" t="s">
        <v>107</v>
      </c>
    </row>
    <row r="198" ht="18.0" customHeight="1">
      <c r="A198" s="14" t="s">
        <v>322</v>
      </c>
      <c r="B198" s="14" t="s">
        <v>323</v>
      </c>
      <c r="C198" s="16">
        <v>0.375</v>
      </c>
      <c r="D198" s="16">
        <v>0.4583333333333333</v>
      </c>
      <c r="E198" s="14" t="s">
        <v>336</v>
      </c>
      <c r="F198" s="14" t="s">
        <v>335</v>
      </c>
      <c r="G198" s="19">
        <v>38.0</v>
      </c>
      <c r="H198" s="14" t="s">
        <v>337</v>
      </c>
    </row>
    <row r="199" ht="18.0" customHeight="1">
      <c r="A199" s="14" t="s">
        <v>322</v>
      </c>
      <c r="B199" s="14" t="s">
        <v>323</v>
      </c>
      <c r="C199" s="16">
        <v>0.375</v>
      </c>
      <c r="D199" s="16">
        <v>0.4583333333333333</v>
      </c>
      <c r="E199" s="14" t="s">
        <v>338</v>
      </c>
      <c r="F199" s="14" t="s">
        <v>335</v>
      </c>
      <c r="G199" s="19">
        <v>39.0</v>
      </c>
      <c r="H199" s="14" t="s">
        <v>337</v>
      </c>
    </row>
    <row r="200" ht="18.0" customHeight="1">
      <c r="A200" s="14" t="s">
        <v>322</v>
      </c>
      <c r="B200" s="14" t="s">
        <v>323</v>
      </c>
      <c r="C200" s="16">
        <v>0.375</v>
      </c>
      <c r="D200" s="16">
        <v>0.4583333333333333</v>
      </c>
      <c r="E200" s="14" t="s">
        <v>339</v>
      </c>
      <c r="F200" s="14" t="s">
        <v>335</v>
      </c>
      <c r="G200" s="19">
        <v>39.0</v>
      </c>
      <c r="H200" s="14" t="s">
        <v>107</v>
      </c>
    </row>
    <row r="201" ht="18.0" customHeight="1">
      <c r="A201" s="14" t="s">
        <v>322</v>
      </c>
      <c r="B201" s="14" t="s">
        <v>323</v>
      </c>
      <c r="C201" s="16">
        <v>0.375</v>
      </c>
      <c r="D201" s="16">
        <v>0.4583333333333333</v>
      </c>
      <c r="E201" s="14" t="s">
        <v>340</v>
      </c>
      <c r="F201" s="14" t="s">
        <v>335</v>
      </c>
      <c r="G201" s="19">
        <v>38.0</v>
      </c>
      <c r="H201" s="14" t="s">
        <v>107</v>
      </c>
    </row>
    <row r="202" ht="18.0" customHeight="1">
      <c r="A202" s="14" t="s">
        <v>322</v>
      </c>
      <c r="B202" s="14" t="s">
        <v>323</v>
      </c>
      <c r="C202" s="16">
        <v>0.375</v>
      </c>
      <c r="D202" s="16">
        <v>0.4583333333333333</v>
      </c>
      <c r="E202" s="14" t="s">
        <v>341</v>
      </c>
      <c r="F202" s="14" t="s">
        <v>342</v>
      </c>
      <c r="G202" s="19">
        <v>23.0</v>
      </c>
      <c r="H202" s="14" t="s">
        <v>343</v>
      </c>
    </row>
    <row r="203" ht="18.0" customHeight="1">
      <c r="A203" s="14" t="s">
        <v>322</v>
      </c>
      <c r="B203" s="14" t="s">
        <v>323</v>
      </c>
      <c r="C203" s="16">
        <v>0.375</v>
      </c>
      <c r="D203" s="16">
        <v>0.4583333333333333</v>
      </c>
      <c r="E203" s="14" t="s">
        <v>344</v>
      </c>
      <c r="F203" s="14" t="s">
        <v>342</v>
      </c>
      <c r="G203" s="19">
        <v>16.0</v>
      </c>
      <c r="H203" s="14" t="s">
        <v>343</v>
      </c>
    </row>
    <row r="204" ht="18.0" customHeight="1">
      <c r="A204" s="14" t="s">
        <v>322</v>
      </c>
      <c r="B204" s="14" t="s">
        <v>323</v>
      </c>
      <c r="C204" s="16">
        <v>0.375</v>
      </c>
      <c r="D204" s="16">
        <v>0.4583333333333333</v>
      </c>
      <c r="E204" s="14" t="s">
        <v>345</v>
      </c>
      <c r="F204" s="14" t="s">
        <v>346</v>
      </c>
      <c r="G204" s="19">
        <v>38.0</v>
      </c>
      <c r="H204" s="14" t="s">
        <v>347</v>
      </c>
    </row>
    <row r="205" ht="18.0" customHeight="1">
      <c r="A205" s="14" t="s">
        <v>322</v>
      </c>
      <c r="B205" s="14" t="s">
        <v>323</v>
      </c>
      <c r="C205" s="16">
        <v>0.375</v>
      </c>
      <c r="D205" s="16">
        <v>0.4583333333333333</v>
      </c>
      <c r="E205" s="14" t="s">
        <v>348</v>
      </c>
      <c r="F205" s="14" t="s">
        <v>346</v>
      </c>
      <c r="G205" s="19">
        <v>38.0</v>
      </c>
      <c r="H205" s="14" t="s">
        <v>347</v>
      </c>
    </row>
    <row r="206" ht="18.0" customHeight="1">
      <c r="A206" s="14" t="s">
        <v>322</v>
      </c>
      <c r="B206" s="14" t="s">
        <v>323</v>
      </c>
      <c r="C206" s="16">
        <v>0.375</v>
      </c>
      <c r="D206" s="16">
        <v>0.4583333333333333</v>
      </c>
      <c r="E206" s="14" t="s">
        <v>349</v>
      </c>
      <c r="F206" s="14" t="s">
        <v>130</v>
      </c>
      <c r="G206" s="19">
        <v>40.0</v>
      </c>
      <c r="H206" s="14" t="s">
        <v>350</v>
      </c>
    </row>
    <row r="207" ht="18.0" customHeight="1">
      <c r="A207" s="8"/>
      <c r="B207" s="21"/>
      <c r="C207" s="10"/>
      <c r="D207" s="10"/>
      <c r="E207" s="21"/>
      <c r="F207" s="21"/>
      <c r="G207" s="22">
        <v>581.0</v>
      </c>
      <c r="H207" s="21"/>
    </row>
    <row r="208" ht="24.0" customHeight="1">
      <c r="A208" s="8"/>
      <c r="B208" s="9" t="s">
        <v>321</v>
      </c>
      <c r="C208" s="10"/>
      <c r="D208" s="10"/>
      <c r="E208" s="21"/>
      <c r="F208" s="23"/>
      <c r="G208" s="22"/>
      <c r="H208" s="21"/>
    </row>
    <row r="209" ht="18.0" customHeight="1">
      <c r="A209" s="14" t="s">
        <v>351</v>
      </c>
      <c r="B209" s="14" t="s">
        <v>323</v>
      </c>
      <c r="C209" s="16">
        <v>0.5</v>
      </c>
      <c r="D209" s="16">
        <v>0.5833333333333334</v>
      </c>
      <c r="E209" s="14" t="s">
        <v>352</v>
      </c>
      <c r="F209" s="14" t="s">
        <v>353</v>
      </c>
      <c r="G209" s="19">
        <v>35.0</v>
      </c>
      <c r="H209" s="14" t="s">
        <v>354</v>
      </c>
    </row>
    <row r="210" ht="18.0" customHeight="1">
      <c r="A210" s="24" t="s">
        <v>351</v>
      </c>
      <c r="B210" s="24" t="s">
        <v>323</v>
      </c>
      <c r="C210" s="25">
        <v>0.5</v>
      </c>
      <c r="D210" s="25">
        <v>0.5833333333333334</v>
      </c>
      <c r="E210" s="24" t="s">
        <v>355</v>
      </c>
      <c r="F210" s="24" t="s">
        <v>353</v>
      </c>
      <c r="G210" s="27">
        <v>34.0</v>
      </c>
      <c r="H210" s="24" t="s">
        <v>354</v>
      </c>
    </row>
    <row r="211" ht="18.0" customHeight="1">
      <c r="A211" s="28" t="s">
        <v>351</v>
      </c>
      <c r="B211" s="29" t="s">
        <v>323</v>
      </c>
      <c r="C211" s="30">
        <v>0.5</v>
      </c>
      <c r="D211" s="30">
        <v>0.5833333333333334</v>
      </c>
      <c r="E211" s="29" t="s">
        <v>356</v>
      </c>
      <c r="F211" s="29" t="s">
        <v>357</v>
      </c>
      <c r="G211" s="31">
        <v>35.0</v>
      </c>
      <c r="H211" s="33" t="s">
        <v>358</v>
      </c>
    </row>
    <row r="212" ht="18.0" customHeight="1">
      <c r="A212" s="17" t="s">
        <v>351</v>
      </c>
      <c r="B212" s="34" t="s">
        <v>323</v>
      </c>
      <c r="C212" s="35">
        <v>0.5</v>
      </c>
      <c r="D212" s="35">
        <v>0.5833333333333334</v>
      </c>
      <c r="E212" s="36" t="s">
        <v>359</v>
      </c>
      <c r="F212" s="37" t="s">
        <v>357</v>
      </c>
      <c r="G212" s="29">
        <v>39.0</v>
      </c>
      <c r="H212" s="29" t="s">
        <v>358</v>
      </c>
    </row>
    <row r="213" ht="18.0" customHeight="1">
      <c r="A213" s="14" t="s">
        <v>351</v>
      </c>
      <c r="B213" s="14" t="s">
        <v>323</v>
      </c>
      <c r="C213" s="16">
        <v>0.5</v>
      </c>
      <c r="D213" s="16">
        <v>0.5833333333333334</v>
      </c>
      <c r="E213" s="14" t="s">
        <v>360</v>
      </c>
      <c r="F213" s="17" t="s">
        <v>357</v>
      </c>
      <c r="G213" s="18">
        <v>38.0</v>
      </c>
      <c r="H213" s="17" t="s">
        <v>361</v>
      </c>
    </row>
    <row r="214" ht="18.0" customHeight="1">
      <c r="A214" s="14" t="s">
        <v>351</v>
      </c>
      <c r="B214" s="14" t="s">
        <v>323</v>
      </c>
      <c r="C214" s="16">
        <v>0.5</v>
      </c>
      <c r="D214" s="16">
        <v>0.5833333333333334</v>
      </c>
      <c r="E214" s="14" t="s">
        <v>362</v>
      </c>
      <c r="F214" s="14" t="s">
        <v>357</v>
      </c>
      <c r="G214" s="19">
        <v>40.0</v>
      </c>
      <c r="H214" s="14" t="s">
        <v>363</v>
      </c>
    </row>
    <row r="215" ht="18.0" customHeight="1">
      <c r="A215" s="14" t="s">
        <v>351</v>
      </c>
      <c r="B215" s="14" t="s">
        <v>323</v>
      </c>
      <c r="C215" s="16">
        <v>0.5</v>
      </c>
      <c r="D215" s="16">
        <v>0.5833333333333334</v>
      </c>
      <c r="E215" s="14" t="s">
        <v>364</v>
      </c>
      <c r="F215" s="14" t="s">
        <v>357</v>
      </c>
      <c r="G215" s="19">
        <v>39.0</v>
      </c>
      <c r="H215" s="14" t="s">
        <v>363</v>
      </c>
    </row>
    <row r="216" ht="18.0" customHeight="1">
      <c r="A216" s="14" t="s">
        <v>351</v>
      </c>
      <c r="B216" s="14" t="s">
        <v>323</v>
      </c>
      <c r="C216" s="16">
        <v>0.5</v>
      </c>
      <c r="D216" s="16">
        <v>0.5833333333333334</v>
      </c>
      <c r="E216" s="14" t="s">
        <v>365</v>
      </c>
      <c r="F216" s="14" t="s">
        <v>357</v>
      </c>
      <c r="G216" s="19">
        <v>38.0</v>
      </c>
      <c r="H216" s="14" t="s">
        <v>366</v>
      </c>
    </row>
    <row r="217" ht="18.0" customHeight="1">
      <c r="A217" s="14" t="s">
        <v>351</v>
      </c>
      <c r="B217" s="14" t="s">
        <v>323</v>
      </c>
      <c r="C217" s="16">
        <v>0.5</v>
      </c>
      <c r="D217" s="16">
        <v>0.5833333333333334</v>
      </c>
      <c r="E217" s="14" t="s">
        <v>367</v>
      </c>
      <c r="F217" s="14" t="s">
        <v>357</v>
      </c>
      <c r="G217" s="19">
        <v>39.0</v>
      </c>
      <c r="H217" s="14" t="s">
        <v>366</v>
      </c>
    </row>
    <row r="218" ht="18.0" customHeight="1">
      <c r="A218" s="14" t="s">
        <v>351</v>
      </c>
      <c r="B218" s="14" t="s">
        <v>323</v>
      </c>
      <c r="C218" s="16">
        <v>0.5</v>
      </c>
      <c r="D218" s="16">
        <v>0.5833333333333334</v>
      </c>
      <c r="E218" s="14" t="s">
        <v>368</v>
      </c>
      <c r="F218" s="14" t="s">
        <v>357</v>
      </c>
      <c r="G218" s="19">
        <v>40.0</v>
      </c>
      <c r="H218" s="14" t="s">
        <v>369</v>
      </c>
    </row>
    <row r="219" ht="18.0" customHeight="1">
      <c r="A219" s="14" t="s">
        <v>351</v>
      </c>
      <c r="B219" s="14" t="s">
        <v>323</v>
      </c>
      <c r="C219" s="16">
        <v>0.5</v>
      </c>
      <c r="D219" s="16">
        <v>0.5833333333333334</v>
      </c>
      <c r="E219" s="14" t="s">
        <v>370</v>
      </c>
      <c r="F219" s="14" t="s">
        <v>29</v>
      </c>
      <c r="G219" s="19">
        <v>40.0</v>
      </c>
      <c r="H219" s="14" t="s">
        <v>371</v>
      </c>
    </row>
    <row r="220" ht="18.0" customHeight="1">
      <c r="A220" s="24" t="s">
        <v>351</v>
      </c>
      <c r="B220" s="24" t="s">
        <v>323</v>
      </c>
      <c r="C220" s="25">
        <v>0.5</v>
      </c>
      <c r="D220" s="16">
        <v>0.5833333333333334</v>
      </c>
      <c r="E220" s="24" t="s">
        <v>372</v>
      </c>
      <c r="F220" s="24" t="s">
        <v>29</v>
      </c>
      <c r="G220" s="27">
        <v>40.0</v>
      </c>
      <c r="H220" s="24" t="s">
        <v>371</v>
      </c>
    </row>
    <row r="221" ht="18.0" customHeight="1">
      <c r="A221" s="28" t="s">
        <v>351</v>
      </c>
      <c r="B221" s="29" t="s">
        <v>323</v>
      </c>
      <c r="C221" s="30">
        <v>0.5</v>
      </c>
      <c r="D221" s="30">
        <v>0.5833333333333334</v>
      </c>
      <c r="E221" s="29" t="s">
        <v>373</v>
      </c>
      <c r="F221" s="29" t="s">
        <v>29</v>
      </c>
      <c r="G221" s="31">
        <v>40.0</v>
      </c>
      <c r="H221" s="33" t="s">
        <v>371</v>
      </c>
    </row>
    <row r="222" ht="18.0" customHeight="1">
      <c r="A222" s="17" t="s">
        <v>351</v>
      </c>
      <c r="B222" s="34" t="s">
        <v>323</v>
      </c>
      <c r="C222" s="35">
        <v>0.5</v>
      </c>
      <c r="D222" s="35">
        <v>0.5833333333333334</v>
      </c>
      <c r="E222" s="36" t="s">
        <v>374</v>
      </c>
      <c r="F222" s="37" t="s">
        <v>106</v>
      </c>
      <c r="G222" s="29">
        <v>40.0</v>
      </c>
      <c r="H222" s="29" t="s">
        <v>375</v>
      </c>
    </row>
    <row r="223" ht="18.0" customHeight="1">
      <c r="A223" s="14" t="s">
        <v>351</v>
      </c>
      <c r="B223" s="14" t="s">
        <v>323</v>
      </c>
      <c r="C223" s="16">
        <v>0.5</v>
      </c>
      <c r="D223" s="16">
        <v>0.5833333333333334</v>
      </c>
      <c r="E223" s="14" t="s">
        <v>376</v>
      </c>
      <c r="F223" s="17" t="s">
        <v>106</v>
      </c>
      <c r="G223" s="18">
        <v>40.0</v>
      </c>
      <c r="H223" s="17" t="s">
        <v>375</v>
      </c>
    </row>
    <row r="224" ht="18.0" customHeight="1">
      <c r="A224" s="14" t="s">
        <v>351</v>
      </c>
      <c r="B224" s="14" t="s">
        <v>323</v>
      </c>
      <c r="C224" s="16">
        <v>0.5</v>
      </c>
      <c r="D224" s="16">
        <v>0.5833333333333334</v>
      </c>
      <c r="E224" s="14" t="s">
        <v>377</v>
      </c>
      <c r="F224" s="14" t="s">
        <v>106</v>
      </c>
      <c r="G224" s="19">
        <v>40.0</v>
      </c>
      <c r="H224" s="14" t="s">
        <v>375</v>
      </c>
    </row>
    <row r="225" ht="18.0" customHeight="1">
      <c r="A225" s="14" t="s">
        <v>351</v>
      </c>
      <c r="B225" s="14" t="s">
        <v>323</v>
      </c>
      <c r="C225" s="16">
        <v>0.5</v>
      </c>
      <c r="D225" s="16">
        <v>0.5833333333333334</v>
      </c>
      <c r="E225" s="14" t="s">
        <v>379</v>
      </c>
      <c r="F225" s="14" t="s">
        <v>106</v>
      </c>
      <c r="G225" s="19">
        <v>40.0</v>
      </c>
      <c r="H225" s="14" t="s">
        <v>350</v>
      </c>
    </row>
    <row r="226" ht="18.0" customHeight="1">
      <c r="A226" s="14" t="s">
        <v>351</v>
      </c>
      <c r="B226" s="14" t="s">
        <v>323</v>
      </c>
      <c r="C226" s="16">
        <v>0.5</v>
      </c>
      <c r="D226" s="16">
        <v>0.5833333333333334</v>
      </c>
      <c r="E226" s="14" t="s">
        <v>380</v>
      </c>
      <c r="F226" s="14" t="s">
        <v>126</v>
      </c>
      <c r="G226" s="19">
        <v>39.0</v>
      </c>
      <c r="H226" s="14" t="s">
        <v>381</v>
      </c>
    </row>
    <row r="227" ht="18.0" customHeight="1">
      <c r="A227" s="14" t="s">
        <v>351</v>
      </c>
      <c r="B227" s="14" t="s">
        <v>323</v>
      </c>
      <c r="C227" s="16">
        <v>0.5</v>
      </c>
      <c r="D227" s="16">
        <v>0.5833333333333334</v>
      </c>
      <c r="E227" s="14" t="s">
        <v>382</v>
      </c>
      <c r="F227" s="14" t="s">
        <v>126</v>
      </c>
      <c r="G227" s="19">
        <v>38.0</v>
      </c>
      <c r="H227" s="14" t="s">
        <v>381</v>
      </c>
    </row>
    <row r="228" ht="18.0" customHeight="1">
      <c r="A228" s="8"/>
      <c r="B228" s="21"/>
      <c r="C228" s="10"/>
      <c r="D228" s="10"/>
      <c r="E228" s="21"/>
      <c r="F228" s="21"/>
      <c r="G228" s="22">
        <v>734.0</v>
      </c>
      <c r="H228" s="21"/>
    </row>
    <row r="229" ht="24.0" customHeight="1">
      <c r="A229" s="8"/>
      <c r="B229" s="9" t="s">
        <v>321</v>
      </c>
      <c r="C229" s="10"/>
      <c r="D229" s="10"/>
      <c r="E229" s="21"/>
      <c r="F229" s="23"/>
      <c r="G229" s="22"/>
      <c r="H229" s="21"/>
    </row>
    <row r="230" ht="18.0" customHeight="1">
      <c r="A230" s="14" t="s">
        <v>383</v>
      </c>
      <c r="B230" s="14" t="s">
        <v>323</v>
      </c>
      <c r="C230" s="16">
        <v>0.625</v>
      </c>
      <c r="D230" s="16">
        <v>0.7083333333333334</v>
      </c>
      <c r="E230" s="14" t="s">
        <v>384</v>
      </c>
      <c r="F230" s="14" t="s">
        <v>353</v>
      </c>
      <c r="G230" s="19">
        <v>38.0</v>
      </c>
      <c r="H230" s="14" t="s">
        <v>326</v>
      </c>
    </row>
    <row r="231" ht="18.0" customHeight="1">
      <c r="A231" s="14" t="s">
        <v>383</v>
      </c>
      <c r="B231" s="14" t="s">
        <v>323</v>
      </c>
      <c r="C231" s="16">
        <v>0.625</v>
      </c>
      <c r="D231" s="16">
        <v>0.7083333333333334</v>
      </c>
      <c r="E231" s="14" t="s">
        <v>385</v>
      </c>
      <c r="F231" s="14" t="s">
        <v>353</v>
      </c>
      <c r="G231" s="19">
        <v>37.0</v>
      </c>
      <c r="H231" s="14" t="s">
        <v>326</v>
      </c>
    </row>
    <row r="232" ht="18.0" customHeight="1">
      <c r="A232" s="14" t="s">
        <v>383</v>
      </c>
      <c r="B232" s="14" t="s">
        <v>323</v>
      </c>
      <c r="C232" s="16">
        <v>0.625</v>
      </c>
      <c r="D232" s="16">
        <v>0.7083333333333334</v>
      </c>
      <c r="E232" s="14" t="s">
        <v>386</v>
      </c>
      <c r="F232" s="14" t="s">
        <v>18</v>
      </c>
      <c r="G232" s="19">
        <v>35.0</v>
      </c>
      <c r="H232" s="14" t="s">
        <v>387</v>
      </c>
    </row>
    <row r="233" ht="18.0" customHeight="1">
      <c r="A233" s="14" t="s">
        <v>383</v>
      </c>
      <c r="B233" s="14" t="s">
        <v>323</v>
      </c>
      <c r="C233" s="16">
        <v>0.625</v>
      </c>
      <c r="D233" s="16">
        <v>0.7083333333333334</v>
      </c>
      <c r="E233" s="14" t="s">
        <v>388</v>
      </c>
      <c r="F233" s="14" t="s">
        <v>18</v>
      </c>
      <c r="G233" s="19">
        <v>32.0</v>
      </c>
      <c r="H233" s="14" t="s">
        <v>387</v>
      </c>
    </row>
    <row r="234" ht="18.0" customHeight="1">
      <c r="A234" s="14" t="s">
        <v>383</v>
      </c>
      <c r="B234" s="14" t="s">
        <v>323</v>
      </c>
      <c r="C234" s="16">
        <v>0.625</v>
      </c>
      <c r="D234" s="16">
        <v>0.7083333333333334</v>
      </c>
      <c r="E234" s="14" t="s">
        <v>389</v>
      </c>
      <c r="F234" s="14" t="s">
        <v>18</v>
      </c>
      <c r="G234" s="19">
        <v>38.0</v>
      </c>
      <c r="H234" s="14" t="s">
        <v>390</v>
      </c>
    </row>
    <row r="235" ht="18.0" customHeight="1">
      <c r="A235" s="14" t="s">
        <v>383</v>
      </c>
      <c r="B235" s="14" t="s">
        <v>323</v>
      </c>
      <c r="C235" s="16">
        <v>0.625</v>
      </c>
      <c r="D235" s="16">
        <v>0.7083333333333334</v>
      </c>
      <c r="E235" s="14" t="s">
        <v>391</v>
      </c>
      <c r="F235" s="14" t="s">
        <v>18</v>
      </c>
      <c r="G235" s="19">
        <v>38.0</v>
      </c>
      <c r="H235" s="14" t="s">
        <v>390</v>
      </c>
    </row>
    <row r="236" ht="18.0" customHeight="1">
      <c r="A236" s="14" t="s">
        <v>383</v>
      </c>
      <c r="B236" s="14" t="s">
        <v>323</v>
      </c>
      <c r="C236" s="16">
        <v>0.625</v>
      </c>
      <c r="D236" s="16">
        <v>0.7083333333333334</v>
      </c>
      <c r="E236" s="14" t="s">
        <v>392</v>
      </c>
      <c r="F236" s="14" t="s">
        <v>275</v>
      </c>
      <c r="G236" s="19">
        <v>40.0</v>
      </c>
      <c r="H236" s="14" t="s">
        <v>393</v>
      </c>
    </row>
    <row r="237" ht="18.0" customHeight="1">
      <c r="A237" s="14" t="s">
        <v>383</v>
      </c>
      <c r="B237" s="14" t="s">
        <v>323</v>
      </c>
      <c r="C237" s="16">
        <v>0.625</v>
      </c>
      <c r="D237" s="16">
        <v>0.7083333333333334</v>
      </c>
      <c r="E237" s="14" t="s">
        <v>394</v>
      </c>
      <c r="F237" s="14" t="s">
        <v>275</v>
      </c>
      <c r="G237" s="19">
        <v>39.0</v>
      </c>
      <c r="H237" s="14" t="s">
        <v>393</v>
      </c>
    </row>
    <row r="238" ht="18.0" customHeight="1">
      <c r="A238" s="14" t="s">
        <v>383</v>
      </c>
      <c r="B238" s="14" t="s">
        <v>323</v>
      </c>
      <c r="C238" s="16">
        <v>0.625</v>
      </c>
      <c r="D238" s="16">
        <v>0.7083333333333334</v>
      </c>
      <c r="E238" s="14" t="s">
        <v>395</v>
      </c>
      <c r="F238" s="14" t="s">
        <v>59</v>
      </c>
      <c r="G238" s="19">
        <v>36.0</v>
      </c>
      <c r="H238" s="14" t="s">
        <v>396</v>
      </c>
    </row>
    <row r="239" ht="18.0" customHeight="1">
      <c r="A239" s="14" t="s">
        <v>383</v>
      </c>
      <c r="B239" s="14" t="s">
        <v>323</v>
      </c>
      <c r="C239" s="16">
        <v>0.625</v>
      </c>
      <c r="D239" s="16">
        <v>0.7083333333333334</v>
      </c>
      <c r="E239" s="14" t="s">
        <v>397</v>
      </c>
      <c r="F239" s="14" t="s">
        <v>59</v>
      </c>
      <c r="G239" s="19">
        <v>37.0</v>
      </c>
      <c r="H239" s="14" t="s">
        <v>396</v>
      </c>
    </row>
    <row r="240" ht="18.0" customHeight="1">
      <c r="A240" s="14" t="s">
        <v>383</v>
      </c>
      <c r="B240" s="14" t="s">
        <v>323</v>
      </c>
      <c r="C240" s="16">
        <v>0.625</v>
      </c>
      <c r="D240" s="16">
        <v>0.7083333333333334</v>
      </c>
      <c r="E240" s="14" t="s">
        <v>398</v>
      </c>
      <c r="F240" s="14" t="s">
        <v>106</v>
      </c>
      <c r="G240" s="19">
        <v>40.0</v>
      </c>
      <c r="H240" s="14" t="s">
        <v>399</v>
      </c>
    </row>
    <row r="241" ht="18.0" customHeight="1">
      <c r="A241" s="14" t="s">
        <v>383</v>
      </c>
      <c r="B241" s="14" t="s">
        <v>323</v>
      </c>
      <c r="C241" s="16">
        <v>0.625</v>
      </c>
      <c r="D241" s="16">
        <v>0.7083333333333334</v>
      </c>
      <c r="E241" s="14" t="s">
        <v>400</v>
      </c>
      <c r="F241" s="14" t="s">
        <v>106</v>
      </c>
      <c r="G241" s="19">
        <v>40.0</v>
      </c>
      <c r="H241" s="45" t="s">
        <v>401</v>
      </c>
    </row>
    <row r="242" ht="18.0" customHeight="1">
      <c r="A242" s="14" t="s">
        <v>383</v>
      </c>
      <c r="B242" s="14" t="s">
        <v>323</v>
      </c>
      <c r="C242" s="16">
        <v>0.625</v>
      </c>
      <c r="D242" s="16">
        <v>0.7083333333333334</v>
      </c>
      <c r="E242" s="14" t="s">
        <v>402</v>
      </c>
      <c r="F242" s="14" t="s">
        <v>106</v>
      </c>
      <c r="G242" s="19">
        <v>40.0</v>
      </c>
      <c r="H242" s="45" t="s">
        <v>399</v>
      </c>
    </row>
    <row r="243" ht="18.0" customHeight="1">
      <c r="A243" s="14" t="s">
        <v>383</v>
      </c>
      <c r="B243" s="14" t="s">
        <v>323</v>
      </c>
      <c r="C243" s="16">
        <v>0.625</v>
      </c>
      <c r="D243" s="16">
        <v>0.7083333333333334</v>
      </c>
      <c r="E243" s="14" t="s">
        <v>403</v>
      </c>
      <c r="F243" s="14" t="s">
        <v>335</v>
      </c>
      <c r="G243" s="19">
        <v>39.0</v>
      </c>
      <c r="H243" s="45" t="s">
        <v>404</v>
      </c>
    </row>
    <row r="244" ht="18.0" customHeight="1">
      <c r="A244" s="8"/>
      <c r="B244" s="21"/>
      <c r="C244" s="10"/>
      <c r="D244" s="10"/>
      <c r="E244" s="21"/>
      <c r="F244" s="21"/>
      <c r="G244" s="22">
        <v>529.0</v>
      </c>
      <c r="H244" s="39"/>
    </row>
    <row r="245" ht="24.0" customHeight="1">
      <c r="A245" s="8"/>
      <c r="B245" s="9" t="s">
        <v>405</v>
      </c>
      <c r="C245" s="10"/>
      <c r="D245" s="10"/>
      <c r="E245" s="21"/>
      <c r="F245" s="23"/>
      <c r="G245" s="22"/>
      <c r="H245" s="39"/>
    </row>
    <row r="246" ht="18.0" customHeight="1">
      <c r="A246" s="14" t="s">
        <v>406</v>
      </c>
      <c r="B246" s="14" t="s">
        <v>407</v>
      </c>
      <c r="C246" s="16">
        <v>0.375</v>
      </c>
      <c r="D246" s="16">
        <v>0.4583333333333333</v>
      </c>
      <c r="E246" s="14" t="s">
        <v>408</v>
      </c>
      <c r="F246" s="14" t="s">
        <v>204</v>
      </c>
      <c r="G246" s="19">
        <v>37.0</v>
      </c>
      <c r="H246" s="45" t="s">
        <v>409</v>
      </c>
    </row>
    <row r="247" ht="18.0" customHeight="1">
      <c r="A247" s="14" t="s">
        <v>406</v>
      </c>
      <c r="B247" s="14" t="s">
        <v>407</v>
      </c>
      <c r="C247" s="16">
        <v>0.375</v>
      </c>
      <c r="D247" s="16">
        <v>0.4583333333333333</v>
      </c>
      <c r="E247" s="14" t="s">
        <v>410</v>
      </c>
      <c r="F247" s="14" t="s">
        <v>204</v>
      </c>
      <c r="G247" s="19">
        <v>39.0</v>
      </c>
      <c r="H247" s="45" t="s">
        <v>409</v>
      </c>
    </row>
    <row r="248" ht="18.0" customHeight="1">
      <c r="A248" s="14" t="s">
        <v>406</v>
      </c>
      <c r="B248" s="14" t="s">
        <v>407</v>
      </c>
      <c r="C248" s="16">
        <v>0.375</v>
      </c>
      <c r="D248" s="16">
        <v>0.4583333333333333</v>
      </c>
      <c r="E248" s="14" t="s">
        <v>411</v>
      </c>
      <c r="F248" s="14" t="s">
        <v>53</v>
      </c>
      <c r="G248" s="19">
        <v>40.0</v>
      </c>
      <c r="H248" s="45" t="s">
        <v>412</v>
      </c>
    </row>
    <row r="249" ht="18.0" customHeight="1">
      <c r="A249" s="14" t="s">
        <v>406</v>
      </c>
      <c r="B249" s="14" t="s">
        <v>407</v>
      </c>
      <c r="C249" s="16">
        <v>0.375</v>
      </c>
      <c r="D249" s="16">
        <v>0.4583333333333333</v>
      </c>
      <c r="E249" s="14" t="s">
        <v>413</v>
      </c>
      <c r="F249" s="14" t="s">
        <v>53</v>
      </c>
      <c r="G249" s="19">
        <v>40.0</v>
      </c>
      <c r="H249" s="45" t="s">
        <v>412</v>
      </c>
    </row>
    <row r="250" ht="18.0" customHeight="1">
      <c r="A250" s="24" t="s">
        <v>406</v>
      </c>
      <c r="B250" s="24" t="s">
        <v>407</v>
      </c>
      <c r="C250" s="25">
        <v>0.375</v>
      </c>
      <c r="D250" s="25">
        <v>0.4583333333333333</v>
      </c>
      <c r="E250" s="24" t="s">
        <v>414</v>
      </c>
      <c r="F250" s="24" t="s">
        <v>29</v>
      </c>
      <c r="G250" s="27">
        <v>40.0</v>
      </c>
      <c r="H250" s="46" t="s">
        <v>415</v>
      </c>
    </row>
    <row r="251" ht="18.0" customHeight="1">
      <c r="A251" s="28" t="s">
        <v>406</v>
      </c>
      <c r="B251" s="29" t="s">
        <v>407</v>
      </c>
      <c r="C251" s="30">
        <v>0.375</v>
      </c>
      <c r="D251" s="30">
        <v>0.4583333333333333</v>
      </c>
      <c r="E251" s="29" t="s">
        <v>416</v>
      </c>
      <c r="F251" s="29" t="s">
        <v>29</v>
      </c>
      <c r="G251" s="31">
        <v>40.0</v>
      </c>
      <c r="H251" s="33" t="s">
        <v>415</v>
      </c>
    </row>
    <row r="252" ht="18.0" customHeight="1">
      <c r="A252" s="17" t="s">
        <v>406</v>
      </c>
      <c r="B252" s="34" t="s">
        <v>407</v>
      </c>
      <c r="C252" s="35">
        <v>0.375</v>
      </c>
      <c r="D252" s="35">
        <v>0.4583333333333333</v>
      </c>
      <c r="E252" s="36" t="s">
        <v>417</v>
      </c>
      <c r="F252" s="37" t="s">
        <v>87</v>
      </c>
      <c r="G252" s="29">
        <v>2.0</v>
      </c>
      <c r="H252" s="29" t="s">
        <v>418</v>
      </c>
    </row>
    <row r="253" ht="18.0" customHeight="1">
      <c r="A253" s="14" t="s">
        <v>406</v>
      </c>
      <c r="B253" s="14" t="s">
        <v>407</v>
      </c>
      <c r="C253" s="16">
        <v>0.375</v>
      </c>
      <c r="D253" s="16">
        <v>0.4583333333333333</v>
      </c>
      <c r="E253" s="14" t="s">
        <v>419</v>
      </c>
      <c r="F253" s="17" t="s">
        <v>87</v>
      </c>
      <c r="G253" s="18">
        <v>39.0</v>
      </c>
      <c r="H253" s="17" t="s">
        <v>420</v>
      </c>
    </row>
    <row r="254" ht="18.0" customHeight="1">
      <c r="A254" s="14" t="s">
        <v>406</v>
      </c>
      <c r="B254" s="14" t="s">
        <v>407</v>
      </c>
      <c r="C254" s="16">
        <v>0.375</v>
      </c>
      <c r="D254" s="16">
        <v>0.4583333333333333</v>
      </c>
      <c r="E254" s="14" t="s">
        <v>421</v>
      </c>
      <c r="F254" s="14" t="s">
        <v>87</v>
      </c>
      <c r="G254" s="19">
        <v>39.0</v>
      </c>
      <c r="H254" s="14" t="s">
        <v>418</v>
      </c>
    </row>
    <row r="255" ht="18.0" customHeight="1">
      <c r="A255" s="14" t="s">
        <v>406</v>
      </c>
      <c r="B255" s="14" t="s">
        <v>407</v>
      </c>
      <c r="C255" s="16">
        <v>0.375</v>
      </c>
      <c r="D255" s="16">
        <v>0.4583333333333333</v>
      </c>
      <c r="E255" s="14" t="s">
        <v>422</v>
      </c>
      <c r="F255" s="14" t="s">
        <v>100</v>
      </c>
      <c r="G255" s="19">
        <v>39.0</v>
      </c>
      <c r="H255" s="14" t="s">
        <v>423</v>
      </c>
    </row>
    <row r="256" ht="18.0" customHeight="1">
      <c r="A256" s="14" t="s">
        <v>406</v>
      </c>
      <c r="B256" s="14" t="s">
        <v>407</v>
      </c>
      <c r="C256" s="16">
        <v>0.375</v>
      </c>
      <c r="D256" s="16">
        <v>0.4583333333333333</v>
      </c>
      <c r="E256" s="14" t="s">
        <v>424</v>
      </c>
      <c r="F256" s="14" t="s">
        <v>425</v>
      </c>
      <c r="G256" s="19">
        <v>38.0</v>
      </c>
      <c r="H256" s="14" t="s">
        <v>426</v>
      </c>
    </row>
    <row r="257" ht="18.0" customHeight="1">
      <c r="A257" s="14" t="s">
        <v>406</v>
      </c>
      <c r="B257" s="14" t="s">
        <v>407</v>
      </c>
      <c r="C257" s="16">
        <v>0.375</v>
      </c>
      <c r="D257" s="16">
        <v>0.4583333333333333</v>
      </c>
      <c r="E257" s="14" t="s">
        <v>427</v>
      </c>
      <c r="F257" s="14" t="s">
        <v>425</v>
      </c>
      <c r="G257" s="19">
        <v>40.0</v>
      </c>
      <c r="H257" s="14" t="s">
        <v>426</v>
      </c>
    </row>
    <row r="258" ht="18.0" customHeight="1">
      <c r="A258" s="14" t="s">
        <v>406</v>
      </c>
      <c r="B258" s="14" t="s">
        <v>407</v>
      </c>
      <c r="C258" s="16">
        <v>0.375</v>
      </c>
      <c r="D258" s="16">
        <v>0.4583333333333333</v>
      </c>
      <c r="E258" s="14" t="s">
        <v>428</v>
      </c>
      <c r="F258" s="14" t="s">
        <v>425</v>
      </c>
      <c r="G258" s="19">
        <v>40.0</v>
      </c>
      <c r="H258" s="14" t="s">
        <v>426</v>
      </c>
    </row>
    <row r="259" ht="18.0" customHeight="1">
      <c r="A259" s="8"/>
      <c r="B259" s="21"/>
      <c r="C259" s="10"/>
      <c r="D259" s="10"/>
      <c r="E259" s="21"/>
      <c r="F259" s="21"/>
      <c r="G259" s="22">
        <v>473.0</v>
      </c>
      <c r="H259" s="21"/>
    </row>
    <row r="260" ht="24.0" customHeight="1">
      <c r="A260" s="8"/>
      <c r="B260" s="9" t="s">
        <v>405</v>
      </c>
      <c r="C260" s="10"/>
      <c r="D260" s="10"/>
      <c r="E260" s="21"/>
      <c r="F260" s="23"/>
      <c r="G260" s="22"/>
      <c r="H260" s="21"/>
    </row>
    <row r="261" ht="18.0" customHeight="1">
      <c r="A261" s="14" t="s">
        <v>429</v>
      </c>
      <c r="B261" s="14" t="s">
        <v>407</v>
      </c>
      <c r="C261" s="16">
        <v>0.5</v>
      </c>
      <c r="D261" s="16">
        <v>0.5833333333333334</v>
      </c>
      <c r="E261" s="14" t="s">
        <v>430</v>
      </c>
      <c r="F261" s="14" t="s">
        <v>92</v>
      </c>
      <c r="G261" s="19">
        <v>40.0</v>
      </c>
      <c r="H261" s="14" t="s">
        <v>431</v>
      </c>
    </row>
    <row r="262" ht="18.0" customHeight="1">
      <c r="A262" s="14" t="s">
        <v>429</v>
      </c>
      <c r="B262" s="14" t="s">
        <v>407</v>
      </c>
      <c r="C262" s="16">
        <v>0.5</v>
      </c>
      <c r="D262" s="16">
        <v>0.5833333333333334</v>
      </c>
      <c r="E262" s="14" t="s">
        <v>432</v>
      </c>
      <c r="F262" s="14" t="s">
        <v>56</v>
      </c>
      <c r="G262" s="19">
        <v>40.0</v>
      </c>
      <c r="H262" s="14" t="s">
        <v>418</v>
      </c>
    </row>
    <row r="263" ht="18.0" customHeight="1">
      <c r="A263" s="14" t="s">
        <v>429</v>
      </c>
      <c r="B263" s="14" t="s">
        <v>407</v>
      </c>
      <c r="C263" s="16">
        <v>0.5</v>
      </c>
      <c r="D263" s="16">
        <v>0.5833333333333334</v>
      </c>
      <c r="E263" s="14" t="s">
        <v>433</v>
      </c>
      <c r="F263" s="14" t="s">
        <v>56</v>
      </c>
      <c r="G263" s="19">
        <v>40.0</v>
      </c>
      <c r="H263" s="14" t="s">
        <v>418</v>
      </c>
    </row>
    <row r="264" ht="18.0" customHeight="1">
      <c r="A264" s="24" t="s">
        <v>429</v>
      </c>
      <c r="B264" s="24" t="s">
        <v>407</v>
      </c>
      <c r="C264" s="25">
        <v>0.5</v>
      </c>
      <c r="D264" s="25">
        <v>0.5833333333333334</v>
      </c>
      <c r="E264" s="24" t="s">
        <v>434</v>
      </c>
      <c r="F264" s="24" t="s">
        <v>56</v>
      </c>
      <c r="G264" s="27">
        <v>40.0</v>
      </c>
      <c r="H264" s="24" t="s">
        <v>418</v>
      </c>
    </row>
    <row r="265" ht="18.0" customHeight="1">
      <c r="A265" s="28" t="s">
        <v>429</v>
      </c>
      <c r="B265" s="29" t="s">
        <v>407</v>
      </c>
      <c r="C265" s="30">
        <v>0.5</v>
      </c>
      <c r="D265" s="30">
        <v>0.5833333333333334</v>
      </c>
      <c r="E265" s="29" t="s">
        <v>435</v>
      </c>
      <c r="F265" s="29" t="s">
        <v>100</v>
      </c>
      <c r="G265" s="31">
        <v>40.0</v>
      </c>
      <c r="H265" s="33" t="s">
        <v>436</v>
      </c>
    </row>
    <row r="266" ht="18.0" customHeight="1">
      <c r="A266" s="17" t="s">
        <v>429</v>
      </c>
      <c r="B266" s="34" t="s">
        <v>407</v>
      </c>
      <c r="C266" s="35">
        <v>0.5</v>
      </c>
      <c r="D266" s="35">
        <v>0.5833333333333334</v>
      </c>
      <c r="E266" s="36" t="s">
        <v>437</v>
      </c>
      <c r="F266" s="37" t="s">
        <v>100</v>
      </c>
      <c r="G266" s="29">
        <v>40.0</v>
      </c>
      <c r="H266" s="29" t="s">
        <v>436</v>
      </c>
    </row>
    <row r="267" ht="18.0" customHeight="1">
      <c r="A267" s="14" t="s">
        <v>429</v>
      </c>
      <c r="B267" s="14" t="s">
        <v>407</v>
      </c>
      <c r="C267" s="16">
        <v>0.5</v>
      </c>
      <c r="D267" s="16">
        <v>0.5833333333333334</v>
      </c>
      <c r="E267" s="14" t="s">
        <v>438</v>
      </c>
      <c r="F267" s="17" t="s">
        <v>106</v>
      </c>
      <c r="G267" s="18">
        <v>40.0</v>
      </c>
      <c r="H267" s="17" t="s">
        <v>439</v>
      </c>
    </row>
    <row r="268" ht="18.0" customHeight="1">
      <c r="A268" s="14" t="s">
        <v>429</v>
      </c>
      <c r="B268" s="14" t="s">
        <v>407</v>
      </c>
      <c r="C268" s="16">
        <v>0.5</v>
      </c>
      <c r="D268" s="16">
        <v>0.5833333333333334</v>
      </c>
      <c r="E268" s="14" t="s">
        <v>440</v>
      </c>
      <c r="F268" s="14" t="s">
        <v>38</v>
      </c>
      <c r="G268" s="19">
        <v>40.0</v>
      </c>
      <c r="H268" s="14" t="s">
        <v>441</v>
      </c>
    </row>
    <row r="269" ht="18.0" customHeight="1">
      <c r="A269" s="14" t="s">
        <v>429</v>
      </c>
      <c r="B269" s="14" t="s">
        <v>407</v>
      </c>
      <c r="C269" s="16">
        <v>0.5</v>
      </c>
      <c r="D269" s="16">
        <v>0.5833333333333334</v>
      </c>
      <c r="E269" s="14" t="s">
        <v>443</v>
      </c>
      <c r="F269" s="14" t="s">
        <v>38</v>
      </c>
      <c r="G269" s="19">
        <v>40.0</v>
      </c>
      <c r="H269" s="14" t="s">
        <v>441</v>
      </c>
    </row>
    <row r="270" ht="18.0" customHeight="1">
      <c r="A270" s="14" t="s">
        <v>429</v>
      </c>
      <c r="B270" s="14" t="s">
        <v>407</v>
      </c>
      <c r="C270" s="16">
        <v>0.5</v>
      </c>
      <c r="D270" s="16">
        <v>0.5833333333333334</v>
      </c>
      <c r="E270" s="14" t="s">
        <v>444</v>
      </c>
      <c r="F270" s="14" t="s">
        <v>190</v>
      </c>
      <c r="G270" s="19">
        <v>36.0</v>
      </c>
      <c r="H270" s="14" t="s">
        <v>445</v>
      </c>
    </row>
    <row r="271" ht="18.0" customHeight="1">
      <c r="A271" s="14" t="s">
        <v>429</v>
      </c>
      <c r="B271" s="14" t="s">
        <v>407</v>
      </c>
      <c r="C271" s="16">
        <v>0.5</v>
      </c>
      <c r="D271" s="16">
        <v>0.5833333333333334</v>
      </c>
      <c r="E271" s="14" t="s">
        <v>446</v>
      </c>
      <c r="F271" s="14" t="s">
        <v>130</v>
      </c>
      <c r="G271" s="19">
        <v>40.0</v>
      </c>
      <c r="H271" s="14" t="s">
        <v>447</v>
      </c>
    </row>
    <row r="272" ht="18.0" customHeight="1">
      <c r="A272" s="8"/>
      <c r="B272" s="21"/>
      <c r="C272" s="10"/>
      <c r="D272" s="10"/>
      <c r="E272" s="21"/>
      <c r="F272" s="21"/>
      <c r="G272" s="22">
        <v>436.0</v>
      </c>
      <c r="H272" s="21"/>
    </row>
    <row r="273" ht="24.0" customHeight="1">
      <c r="A273" s="8"/>
      <c r="B273" s="9" t="s">
        <v>405</v>
      </c>
      <c r="C273" s="10"/>
      <c r="D273" s="10"/>
      <c r="E273" s="21"/>
      <c r="F273" s="23"/>
      <c r="G273" s="22"/>
      <c r="H273" s="21"/>
    </row>
    <row r="274" ht="18.0" customHeight="1">
      <c r="A274" s="14" t="s">
        <v>448</v>
      </c>
      <c r="B274" s="14" t="s">
        <v>407</v>
      </c>
      <c r="C274" s="16">
        <v>0.625</v>
      </c>
      <c r="D274" s="16">
        <v>0.7083333333333334</v>
      </c>
      <c r="E274" s="14" t="s">
        <v>449</v>
      </c>
      <c r="F274" s="14" t="s">
        <v>204</v>
      </c>
      <c r="G274" s="19">
        <v>38.0</v>
      </c>
      <c r="H274" s="14" t="s">
        <v>288</v>
      </c>
    </row>
    <row r="275" ht="18.0" customHeight="1">
      <c r="A275" s="14" t="s">
        <v>448</v>
      </c>
      <c r="B275" s="14" t="s">
        <v>407</v>
      </c>
      <c r="C275" s="16">
        <v>0.625</v>
      </c>
      <c r="D275" s="16">
        <v>0.7083333333333334</v>
      </c>
      <c r="E275" s="14" t="s">
        <v>450</v>
      </c>
      <c r="F275" s="14" t="s">
        <v>204</v>
      </c>
      <c r="G275" s="19">
        <v>37.0</v>
      </c>
      <c r="H275" s="14" t="s">
        <v>288</v>
      </c>
    </row>
    <row r="276" ht="18.0" customHeight="1">
      <c r="A276" s="14" t="s">
        <v>448</v>
      </c>
      <c r="B276" s="14" t="s">
        <v>407</v>
      </c>
      <c r="C276" s="16">
        <v>0.625</v>
      </c>
      <c r="D276" s="16">
        <v>0.7083333333333334</v>
      </c>
      <c r="E276" s="14" t="s">
        <v>451</v>
      </c>
      <c r="F276" s="14" t="s">
        <v>204</v>
      </c>
      <c r="G276" s="19">
        <v>38.0</v>
      </c>
      <c r="H276" s="14" t="s">
        <v>288</v>
      </c>
    </row>
    <row r="277" ht="18.0" customHeight="1">
      <c r="A277" s="14" t="s">
        <v>448</v>
      </c>
      <c r="B277" s="14" t="s">
        <v>407</v>
      </c>
      <c r="C277" s="16">
        <v>0.625</v>
      </c>
      <c r="D277" s="16">
        <v>0.7083333333333334</v>
      </c>
      <c r="E277" s="14" t="s">
        <v>452</v>
      </c>
      <c r="F277" s="14" t="s">
        <v>204</v>
      </c>
      <c r="G277" s="19">
        <v>32.0</v>
      </c>
      <c r="H277" s="14" t="s">
        <v>453</v>
      </c>
    </row>
    <row r="278" ht="18.0" customHeight="1">
      <c r="A278" s="24" t="s">
        <v>448</v>
      </c>
      <c r="B278" s="24" t="s">
        <v>407</v>
      </c>
      <c r="C278" s="25">
        <v>0.625</v>
      </c>
      <c r="D278" s="16">
        <v>0.7083333333333334</v>
      </c>
      <c r="E278" s="24" t="s">
        <v>454</v>
      </c>
      <c r="F278" s="24" t="s">
        <v>204</v>
      </c>
      <c r="G278" s="27">
        <v>35.0</v>
      </c>
      <c r="H278" s="24" t="s">
        <v>453</v>
      </c>
    </row>
    <row r="279" ht="18.0" customHeight="1">
      <c r="A279" s="28" t="s">
        <v>448</v>
      </c>
      <c r="B279" s="29" t="s">
        <v>407</v>
      </c>
      <c r="C279" s="30">
        <v>0.625</v>
      </c>
      <c r="D279" s="30">
        <v>0.7083333333333334</v>
      </c>
      <c r="E279" s="29" t="s">
        <v>455</v>
      </c>
      <c r="F279" s="29" t="s">
        <v>456</v>
      </c>
      <c r="G279" s="31">
        <v>37.0</v>
      </c>
      <c r="H279" s="33" t="s">
        <v>396</v>
      </c>
    </row>
    <row r="280" ht="18.0" customHeight="1">
      <c r="A280" s="17" t="s">
        <v>448</v>
      </c>
      <c r="B280" s="34" t="s">
        <v>407</v>
      </c>
      <c r="C280" s="35">
        <v>0.625</v>
      </c>
      <c r="D280" s="35">
        <v>0.7083333333333334</v>
      </c>
      <c r="E280" s="36" t="s">
        <v>457</v>
      </c>
      <c r="F280" s="37" t="s">
        <v>456</v>
      </c>
      <c r="G280" s="29">
        <v>38.0</v>
      </c>
      <c r="H280" s="29" t="s">
        <v>396</v>
      </c>
    </row>
    <row r="281" ht="18.0" customHeight="1">
      <c r="A281" s="14" t="s">
        <v>448</v>
      </c>
      <c r="B281" s="14" t="s">
        <v>407</v>
      </c>
      <c r="C281" s="16">
        <v>0.625</v>
      </c>
      <c r="D281" s="16">
        <v>0.7083333333333334</v>
      </c>
      <c r="E281" s="14" t="s">
        <v>458</v>
      </c>
      <c r="F281" s="17" t="s">
        <v>26</v>
      </c>
      <c r="G281" s="18">
        <v>40.0</v>
      </c>
      <c r="H281" s="17" t="s">
        <v>137</v>
      </c>
    </row>
    <row r="282" ht="18.0" customHeight="1">
      <c r="A282" s="14" t="s">
        <v>448</v>
      </c>
      <c r="B282" s="14" t="s">
        <v>407</v>
      </c>
      <c r="C282" s="16">
        <v>0.625</v>
      </c>
      <c r="D282" s="16">
        <v>0.7083333333333334</v>
      </c>
      <c r="E282" s="14" t="s">
        <v>459</v>
      </c>
      <c r="F282" s="14" t="s">
        <v>26</v>
      </c>
      <c r="G282" s="19">
        <v>33.0</v>
      </c>
      <c r="H282" s="14" t="s">
        <v>137</v>
      </c>
    </row>
    <row r="283" ht="18.0" customHeight="1">
      <c r="A283" s="14" t="s">
        <v>448</v>
      </c>
      <c r="B283" s="14" t="s">
        <v>407</v>
      </c>
      <c r="C283" s="16">
        <v>0.625</v>
      </c>
      <c r="D283" s="16">
        <v>0.7083333333333334</v>
      </c>
      <c r="E283" s="14" t="s">
        <v>460</v>
      </c>
      <c r="F283" s="14" t="s">
        <v>35</v>
      </c>
      <c r="G283" s="19">
        <v>3.0</v>
      </c>
      <c r="H283" s="14" t="s">
        <v>461</v>
      </c>
    </row>
    <row r="284" ht="18.0" customHeight="1">
      <c r="A284" s="14" t="s">
        <v>448</v>
      </c>
      <c r="B284" s="14" t="s">
        <v>407</v>
      </c>
      <c r="C284" s="16">
        <v>0.625</v>
      </c>
      <c r="D284" s="16">
        <v>0.7083333333333334</v>
      </c>
      <c r="E284" s="14" t="s">
        <v>462</v>
      </c>
      <c r="F284" s="14" t="s">
        <v>35</v>
      </c>
      <c r="G284" s="19">
        <v>40.0</v>
      </c>
      <c r="H284" s="14" t="s">
        <v>461</v>
      </c>
    </row>
    <row r="285" ht="18.0" customHeight="1">
      <c r="A285" s="14" t="s">
        <v>448</v>
      </c>
      <c r="B285" s="14" t="s">
        <v>407</v>
      </c>
      <c r="C285" s="16">
        <v>0.625</v>
      </c>
      <c r="D285" s="16">
        <v>0.7083333333333334</v>
      </c>
      <c r="E285" s="14" t="s">
        <v>463</v>
      </c>
      <c r="F285" s="14" t="s">
        <v>38</v>
      </c>
      <c r="G285" s="19">
        <v>39.0</v>
      </c>
      <c r="H285" s="14" t="s">
        <v>243</v>
      </c>
    </row>
    <row r="286" ht="18.0" customHeight="1">
      <c r="A286" s="14" t="s">
        <v>448</v>
      </c>
      <c r="B286" s="14" t="s">
        <v>407</v>
      </c>
      <c r="C286" s="16">
        <v>0.625</v>
      </c>
      <c r="D286" s="16">
        <v>0.7083333333333334</v>
      </c>
      <c r="E286" s="14" t="s">
        <v>464</v>
      </c>
      <c r="F286" s="14" t="s">
        <v>38</v>
      </c>
      <c r="G286" s="19">
        <v>40.0</v>
      </c>
      <c r="H286" s="14" t="s">
        <v>243</v>
      </c>
    </row>
    <row r="287" ht="18.0" customHeight="1">
      <c r="A287" s="14" t="s">
        <v>448</v>
      </c>
      <c r="B287" s="14" t="s">
        <v>407</v>
      </c>
      <c r="C287" s="16">
        <v>0.625</v>
      </c>
      <c r="D287" s="16">
        <v>0.7083333333333334</v>
      </c>
      <c r="E287" s="14" t="s">
        <v>465</v>
      </c>
      <c r="F287" s="14" t="s">
        <v>38</v>
      </c>
      <c r="G287" s="19">
        <v>40.0</v>
      </c>
      <c r="H287" s="14" t="s">
        <v>243</v>
      </c>
    </row>
    <row r="288" ht="18.0" customHeight="1">
      <c r="A288" s="14" t="s">
        <v>448</v>
      </c>
      <c r="B288" s="14" t="s">
        <v>407</v>
      </c>
      <c r="C288" s="16">
        <v>0.625</v>
      </c>
      <c r="D288" s="16">
        <v>0.7083333333333334</v>
      </c>
      <c r="E288" s="14" t="s">
        <v>466</v>
      </c>
      <c r="F288" s="14" t="s">
        <v>38</v>
      </c>
      <c r="G288" s="19">
        <v>38.0</v>
      </c>
      <c r="H288" s="14" t="s">
        <v>243</v>
      </c>
    </row>
    <row r="289" ht="18.0" customHeight="1">
      <c r="A289" s="14" t="s">
        <v>448</v>
      </c>
      <c r="B289" s="14" t="s">
        <v>407</v>
      </c>
      <c r="C289" s="16">
        <v>0.625</v>
      </c>
      <c r="D289" s="16">
        <v>0.7083333333333334</v>
      </c>
      <c r="E289" s="14" t="s">
        <v>467</v>
      </c>
      <c r="F289" s="14" t="s">
        <v>190</v>
      </c>
      <c r="G289" s="19">
        <v>35.0</v>
      </c>
      <c r="H289" s="14" t="s">
        <v>468</v>
      </c>
    </row>
    <row r="290" ht="18.0" customHeight="1">
      <c r="A290" s="8"/>
      <c r="B290" s="21"/>
      <c r="C290" s="10"/>
      <c r="D290" s="10"/>
      <c r="E290" s="21"/>
      <c r="F290" s="21"/>
      <c r="G290" s="22">
        <v>563.0</v>
      </c>
      <c r="H290" s="21"/>
    </row>
    <row r="291" ht="24.0" customHeight="1">
      <c r="A291" s="8"/>
      <c r="B291" s="9" t="s">
        <v>469</v>
      </c>
      <c r="C291" s="10"/>
      <c r="D291" s="10"/>
      <c r="E291" s="21"/>
      <c r="F291" s="23"/>
      <c r="G291" s="22"/>
      <c r="H291" s="21"/>
    </row>
    <row r="292" ht="18.0" customHeight="1">
      <c r="A292" s="14" t="s">
        <v>470</v>
      </c>
      <c r="B292" s="14" t="s">
        <v>471</v>
      </c>
      <c r="C292" s="16">
        <v>0.3541666666666667</v>
      </c>
      <c r="D292" s="16">
        <v>0.4375</v>
      </c>
      <c r="E292" s="14" t="s">
        <v>472</v>
      </c>
      <c r="F292" s="14" t="s">
        <v>92</v>
      </c>
      <c r="G292" s="19">
        <v>39.0</v>
      </c>
      <c r="H292" s="14" t="s">
        <v>347</v>
      </c>
    </row>
    <row r="293" ht="18.0" customHeight="1">
      <c r="A293" s="14" t="s">
        <v>470</v>
      </c>
      <c r="B293" s="14" t="s">
        <v>471</v>
      </c>
      <c r="C293" s="16">
        <v>0.3541666666666667</v>
      </c>
      <c r="D293" s="16">
        <v>0.4375</v>
      </c>
      <c r="E293" s="14" t="s">
        <v>473</v>
      </c>
      <c r="F293" s="14" t="s">
        <v>136</v>
      </c>
      <c r="G293" s="19">
        <v>40.0</v>
      </c>
      <c r="H293" s="14" t="s">
        <v>200</v>
      </c>
    </row>
    <row r="294" ht="18.0" customHeight="1">
      <c r="A294" s="14" t="s">
        <v>470</v>
      </c>
      <c r="B294" s="14" t="s">
        <v>471</v>
      </c>
      <c r="C294" s="16">
        <v>0.3541666666666667</v>
      </c>
      <c r="D294" s="16">
        <v>0.4375</v>
      </c>
      <c r="E294" s="14" t="s">
        <v>474</v>
      </c>
      <c r="F294" s="14" t="s">
        <v>82</v>
      </c>
      <c r="G294" s="19">
        <v>28.0</v>
      </c>
      <c r="H294" s="14" t="s">
        <v>83</v>
      </c>
    </row>
    <row r="295" ht="18.0" customHeight="1">
      <c r="A295" s="14" t="s">
        <v>470</v>
      </c>
      <c r="B295" s="14" t="s">
        <v>471</v>
      </c>
      <c r="C295" s="16">
        <v>0.3541666666666667</v>
      </c>
      <c r="D295" s="16">
        <v>0.4375</v>
      </c>
      <c r="E295" s="14" t="s">
        <v>475</v>
      </c>
      <c r="F295" s="14" t="s">
        <v>82</v>
      </c>
      <c r="G295" s="19">
        <v>18.0</v>
      </c>
      <c r="H295" s="14" t="s">
        <v>476</v>
      </c>
    </row>
    <row r="296" ht="18.0" customHeight="1">
      <c r="A296" s="14" t="s">
        <v>470</v>
      </c>
      <c r="B296" s="14" t="s">
        <v>471</v>
      </c>
      <c r="C296" s="16">
        <v>0.3541666666666667</v>
      </c>
      <c r="D296" s="16">
        <v>0.4375</v>
      </c>
      <c r="E296" s="14" t="s">
        <v>477</v>
      </c>
      <c r="F296" s="14" t="s">
        <v>82</v>
      </c>
      <c r="G296" s="19">
        <v>17.0</v>
      </c>
      <c r="H296" s="14" t="s">
        <v>476</v>
      </c>
    </row>
    <row r="297" ht="18.0" customHeight="1">
      <c r="A297" s="14" t="s">
        <v>470</v>
      </c>
      <c r="B297" s="14" t="s">
        <v>471</v>
      </c>
      <c r="C297" s="16">
        <v>0.3541666666666667</v>
      </c>
      <c r="D297" s="16">
        <v>0.4375</v>
      </c>
      <c r="E297" s="14" t="s">
        <v>478</v>
      </c>
      <c r="F297" s="14" t="s">
        <v>456</v>
      </c>
      <c r="G297" s="19">
        <v>37.0</v>
      </c>
      <c r="H297" s="14" t="s">
        <v>207</v>
      </c>
    </row>
    <row r="298" ht="18.0" customHeight="1">
      <c r="A298" s="24" t="s">
        <v>470</v>
      </c>
      <c r="B298" s="24" t="s">
        <v>471</v>
      </c>
      <c r="C298" s="16">
        <v>0.3541666666666667</v>
      </c>
      <c r="D298" s="16">
        <v>0.4375</v>
      </c>
      <c r="E298" s="24" t="s">
        <v>479</v>
      </c>
      <c r="F298" s="24" t="s">
        <v>456</v>
      </c>
      <c r="G298" s="27">
        <v>39.0</v>
      </c>
      <c r="H298" s="24" t="s">
        <v>207</v>
      </c>
    </row>
    <row r="299" ht="18.0" customHeight="1">
      <c r="A299" s="28" t="s">
        <v>470</v>
      </c>
      <c r="B299" s="29" t="s">
        <v>471</v>
      </c>
      <c r="C299" s="30">
        <v>0.3541666666666667</v>
      </c>
      <c r="D299" s="30">
        <v>0.4375</v>
      </c>
      <c r="E299" s="29" t="s">
        <v>480</v>
      </c>
      <c r="F299" s="29" t="s">
        <v>23</v>
      </c>
      <c r="G299" s="31">
        <v>40.0</v>
      </c>
      <c r="H299" s="33" t="s">
        <v>481</v>
      </c>
    </row>
    <row r="300" ht="18.0" customHeight="1">
      <c r="A300" s="17" t="s">
        <v>470</v>
      </c>
      <c r="B300" s="34" t="s">
        <v>471</v>
      </c>
      <c r="C300" s="35">
        <v>0.3541666666666667</v>
      </c>
      <c r="D300" s="35">
        <v>0.4375</v>
      </c>
      <c r="E300" s="36" t="s">
        <v>482</v>
      </c>
      <c r="F300" s="37" t="s">
        <v>59</v>
      </c>
      <c r="G300" s="29">
        <v>29.0</v>
      </c>
      <c r="H300" s="29" t="s">
        <v>96</v>
      </c>
    </row>
    <row r="301" ht="18.0" customHeight="1">
      <c r="A301" s="14" t="s">
        <v>470</v>
      </c>
      <c r="B301" s="14" t="s">
        <v>471</v>
      </c>
      <c r="C301" s="16">
        <v>0.3541666666666667</v>
      </c>
      <c r="D301" s="16">
        <v>0.4375</v>
      </c>
      <c r="E301" s="14" t="s">
        <v>483</v>
      </c>
      <c r="F301" s="17" t="s">
        <v>32</v>
      </c>
      <c r="G301" s="18">
        <v>40.0</v>
      </c>
      <c r="H301" s="17" t="s">
        <v>484</v>
      </c>
    </row>
    <row r="302" ht="18.0" customHeight="1">
      <c r="A302" s="14" t="s">
        <v>470</v>
      </c>
      <c r="B302" s="14" t="s">
        <v>471</v>
      </c>
      <c r="C302" s="16">
        <v>0.3541666666666667</v>
      </c>
      <c r="D302" s="16">
        <v>0.4375</v>
      </c>
      <c r="E302" s="14" t="s">
        <v>485</v>
      </c>
      <c r="F302" s="14" t="s">
        <v>100</v>
      </c>
      <c r="G302" s="19">
        <v>40.0</v>
      </c>
      <c r="H302" s="14" t="s">
        <v>486</v>
      </c>
    </row>
    <row r="303" ht="18.0" customHeight="1">
      <c r="A303" s="14" t="s">
        <v>470</v>
      </c>
      <c r="B303" s="14" t="s">
        <v>471</v>
      </c>
      <c r="C303" s="16">
        <v>0.3541666666666667</v>
      </c>
      <c r="D303" s="16">
        <v>0.4375</v>
      </c>
      <c r="E303" s="14" t="s">
        <v>487</v>
      </c>
      <c r="F303" s="14" t="s">
        <v>346</v>
      </c>
      <c r="G303" s="19">
        <v>32.0</v>
      </c>
      <c r="H303" s="14" t="s">
        <v>488</v>
      </c>
    </row>
    <row r="304" ht="18.0" customHeight="1">
      <c r="A304" s="8"/>
      <c r="B304" s="21"/>
      <c r="C304" s="10"/>
      <c r="D304" s="10"/>
      <c r="E304" s="21"/>
      <c r="F304" s="21"/>
      <c r="G304" s="22">
        <v>399.0</v>
      </c>
      <c r="H304" s="21"/>
    </row>
    <row r="305" ht="24.0" customHeight="1">
      <c r="A305" s="8"/>
      <c r="B305" s="9" t="s">
        <v>469</v>
      </c>
      <c r="C305" s="10"/>
      <c r="D305" s="10"/>
      <c r="E305" s="21"/>
      <c r="F305" s="23"/>
      <c r="G305" s="22"/>
      <c r="H305" s="21"/>
    </row>
    <row r="306" ht="18.0" customHeight="1">
      <c r="A306" s="14" t="s">
        <v>489</v>
      </c>
      <c r="B306" s="14" t="s">
        <v>471</v>
      </c>
      <c r="C306" s="16">
        <v>0.4583333333333333</v>
      </c>
      <c r="D306" s="16">
        <v>0.5416666666666666</v>
      </c>
      <c r="E306" s="14" t="s">
        <v>490</v>
      </c>
      <c r="F306" s="14" t="s">
        <v>136</v>
      </c>
      <c r="G306" s="19">
        <v>39.0</v>
      </c>
      <c r="H306" s="14" t="s">
        <v>491</v>
      </c>
    </row>
    <row r="307" ht="18.0" customHeight="1">
      <c r="A307" s="14" t="s">
        <v>489</v>
      </c>
      <c r="B307" s="14" t="s">
        <v>471</v>
      </c>
      <c r="C307" s="16">
        <v>0.4583333333333333</v>
      </c>
      <c r="D307" s="16">
        <v>0.5416666666666666</v>
      </c>
      <c r="E307" s="14" t="s">
        <v>492</v>
      </c>
      <c r="F307" s="14" t="s">
        <v>136</v>
      </c>
      <c r="G307" s="19">
        <v>40.0</v>
      </c>
      <c r="H307" s="14" t="s">
        <v>491</v>
      </c>
    </row>
    <row r="308" ht="18.0" customHeight="1">
      <c r="A308" s="14" t="s">
        <v>489</v>
      </c>
      <c r="B308" s="14" t="s">
        <v>471</v>
      </c>
      <c r="C308" s="16">
        <v>0.4583333333333333</v>
      </c>
      <c r="D308" s="16">
        <v>0.5416666666666666</v>
      </c>
      <c r="E308" s="14" t="s">
        <v>493</v>
      </c>
      <c r="F308" s="14" t="s">
        <v>42</v>
      </c>
      <c r="G308" s="19">
        <v>25.0</v>
      </c>
      <c r="H308" s="14" t="s">
        <v>226</v>
      </c>
    </row>
    <row r="309" ht="18.0" customHeight="1">
      <c r="A309" s="14" t="s">
        <v>489</v>
      </c>
      <c r="B309" s="14" t="s">
        <v>471</v>
      </c>
      <c r="C309" s="16">
        <v>0.4583333333333333</v>
      </c>
      <c r="D309" s="16">
        <v>0.5416666666666666</v>
      </c>
      <c r="E309" s="14" t="s">
        <v>494</v>
      </c>
      <c r="F309" s="14" t="s">
        <v>357</v>
      </c>
      <c r="G309" s="19">
        <v>13.0</v>
      </c>
      <c r="H309" s="14" t="s">
        <v>476</v>
      </c>
    </row>
    <row r="310" ht="18.0" customHeight="1">
      <c r="A310" s="14" t="s">
        <v>489</v>
      </c>
      <c r="B310" s="14" t="s">
        <v>471</v>
      </c>
      <c r="C310" s="16">
        <v>0.4583333333333333</v>
      </c>
      <c r="D310" s="16">
        <v>0.5416666666666666</v>
      </c>
      <c r="E310" s="14" t="s">
        <v>495</v>
      </c>
      <c r="F310" s="14" t="s">
        <v>357</v>
      </c>
      <c r="G310" s="19">
        <v>38.0</v>
      </c>
      <c r="H310" s="14" t="s">
        <v>476</v>
      </c>
    </row>
    <row r="311" ht="18.0" customHeight="1">
      <c r="A311" s="14" t="s">
        <v>489</v>
      </c>
      <c r="B311" s="14" t="s">
        <v>471</v>
      </c>
      <c r="C311" s="16">
        <v>0.4583333333333333</v>
      </c>
      <c r="D311" s="16">
        <v>0.5416666666666666</v>
      </c>
      <c r="E311" s="14" t="s">
        <v>496</v>
      </c>
      <c r="F311" s="14" t="s">
        <v>357</v>
      </c>
      <c r="G311" s="19">
        <v>38.0</v>
      </c>
      <c r="H311" s="14" t="s">
        <v>228</v>
      </c>
    </row>
    <row r="312" ht="18.0" customHeight="1">
      <c r="A312" s="14" t="s">
        <v>489</v>
      </c>
      <c r="B312" s="14" t="s">
        <v>471</v>
      </c>
      <c r="C312" s="16">
        <v>0.4583333333333333</v>
      </c>
      <c r="D312" s="16">
        <v>0.5416666666666666</v>
      </c>
      <c r="E312" s="14" t="s">
        <v>497</v>
      </c>
      <c r="F312" s="14" t="s">
        <v>357</v>
      </c>
      <c r="G312" s="19">
        <v>38.0</v>
      </c>
      <c r="H312" s="14" t="s">
        <v>228</v>
      </c>
    </row>
    <row r="313" ht="18.0" customHeight="1">
      <c r="A313" s="14" t="s">
        <v>489</v>
      </c>
      <c r="B313" s="14" t="s">
        <v>471</v>
      </c>
      <c r="C313" s="16">
        <v>0.4583333333333333</v>
      </c>
      <c r="D313" s="16">
        <v>0.5416666666666666</v>
      </c>
      <c r="E313" s="14" t="s">
        <v>498</v>
      </c>
      <c r="F313" s="14" t="s">
        <v>29</v>
      </c>
      <c r="G313" s="19">
        <v>40.0</v>
      </c>
      <c r="H313" s="14" t="s">
        <v>363</v>
      </c>
    </row>
    <row r="314" ht="18.0" customHeight="1">
      <c r="A314" s="14" t="s">
        <v>489</v>
      </c>
      <c r="B314" s="14" t="s">
        <v>471</v>
      </c>
      <c r="C314" s="16">
        <v>0.4583333333333333</v>
      </c>
      <c r="D314" s="16">
        <v>0.5416666666666666</v>
      </c>
      <c r="E314" s="14" t="s">
        <v>499</v>
      </c>
      <c r="F314" s="14" t="s">
        <v>126</v>
      </c>
      <c r="G314" s="19">
        <v>18.0</v>
      </c>
      <c r="H314" s="14" t="s">
        <v>441</v>
      </c>
    </row>
    <row r="315" ht="18.0" customHeight="1">
      <c r="A315" s="14" t="s">
        <v>489</v>
      </c>
      <c r="B315" s="14" t="s">
        <v>471</v>
      </c>
      <c r="C315" s="16">
        <v>0.4583333333333333</v>
      </c>
      <c r="D315" s="16">
        <v>0.5416666666666666</v>
      </c>
      <c r="E315" s="14" t="s">
        <v>500</v>
      </c>
      <c r="F315" s="14" t="s">
        <v>126</v>
      </c>
      <c r="G315" s="19">
        <v>30.0</v>
      </c>
      <c r="H315" s="14" t="s">
        <v>441</v>
      </c>
    </row>
    <row r="316" ht="18.0" customHeight="1">
      <c r="A316" s="24" t="s">
        <v>489</v>
      </c>
      <c r="B316" s="24" t="s">
        <v>471</v>
      </c>
      <c r="C316" s="25">
        <v>0.4583333333333333</v>
      </c>
      <c r="D316" s="25">
        <v>0.5416666666666666</v>
      </c>
      <c r="E316" s="24" t="s">
        <v>501</v>
      </c>
      <c r="F316" s="24" t="s">
        <v>126</v>
      </c>
      <c r="G316" s="27">
        <v>40.0</v>
      </c>
      <c r="H316" s="24" t="s">
        <v>441</v>
      </c>
    </row>
    <row r="317" ht="18.0" customHeight="1">
      <c r="A317" s="28" t="s">
        <v>489</v>
      </c>
      <c r="B317" s="29" t="s">
        <v>471</v>
      </c>
      <c r="C317" s="30">
        <v>0.4583333333333333</v>
      </c>
      <c r="D317" s="30">
        <v>0.5416666666666666</v>
      </c>
      <c r="E317" s="29" t="s">
        <v>502</v>
      </c>
      <c r="F317" s="29" t="s">
        <v>78</v>
      </c>
      <c r="G317" s="31">
        <v>40.0</v>
      </c>
      <c r="H317" s="33" t="s">
        <v>503</v>
      </c>
    </row>
    <row r="318" ht="18.0" customHeight="1">
      <c r="A318" s="17" t="s">
        <v>489</v>
      </c>
      <c r="B318" s="34" t="s">
        <v>471</v>
      </c>
      <c r="C318" s="35">
        <v>0.4583333333333333</v>
      </c>
      <c r="D318" s="35">
        <v>0.5416666666666666</v>
      </c>
      <c r="E318" s="36" t="s">
        <v>504</v>
      </c>
      <c r="F318" s="37" t="s">
        <v>78</v>
      </c>
      <c r="G318" s="29">
        <v>40.0</v>
      </c>
      <c r="H318" s="29" t="s">
        <v>503</v>
      </c>
    </row>
    <row r="319" ht="18.0" customHeight="1">
      <c r="A319" s="14" t="s">
        <v>489</v>
      </c>
      <c r="B319" s="14" t="s">
        <v>471</v>
      </c>
      <c r="C319" s="16">
        <v>0.4583333333333333</v>
      </c>
      <c r="D319" s="16">
        <v>0.5416666666666666</v>
      </c>
      <c r="E319" s="14" t="s">
        <v>505</v>
      </c>
      <c r="F319" s="17" t="s">
        <v>78</v>
      </c>
      <c r="G319" s="18">
        <v>40.0</v>
      </c>
      <c r="H319" s="17" t="s">
        <v>506</v>
      </c>
    </row>
    <row r="320" ht="18.0" customHeight="1">
      <c r="A320" s="14" t="s">
        <v>489</v>
      </c>
      <c r="B320" s="14" t="s">
        <v>471</v>
      </c>
      <c r="C320" s="16">
        <v>0.4583333333333333</v>
      </c>
      <c r="D320" s="16">
        <v>0.5416666666666666</v>
      </c>
      <c r="E320" s="14" t="s">
        <v>507</v>
      </c>
      <c r="F320" s="14" t="s">
        <v>92</v>
      </c>
      <c r="G320" s="19">
        <v>20.0</v>
      </c>
      <c r="H320" s="14" t="s">
        <v>79</v>
      </c>
    </row>
    <row r="321" ht="18.0" customHeight="1">
      <c r="A321" s="14" t="s">
        <v>489</v>
      </c>
      <c r="B321" s="14" t="s">
        <v>471</v>
      </c>
      <c r="C321" s="16">
        <v>0.4583333333333333</v>
      </c>
      <c r="D321" s="16">
        <v>0.5416666666666666</v>
      </c>
      <c r="E321" s="14" t="s">
        <v>508</v>
      </c>
      <c r="F321" s="14" t="s">
        <v>162</v>
      </c>
      <c r="G321" s="19">
        <v>42.0</v>
      </c>
      <c r="H321" s="14" t="s">
        <v>293</v>
      </c>
    </row>
    <row r="322" ht="18.0" customHeight="1">
      <c r="A322" s="14" t="s">
        <v>489</v>
      </c>
      <c r="B322" s="14" t="s">
        <v>471</v>
      </c>
      <c r="C322" s="16">
        <v>0.4583333333333333</v>
      </c>
      <c r="D322" s="16">
        <v>0.5416666666666666</v>
      </c>
      <c r="E322" s="14" t="s">
        <v>509</v>
      </c>
      <c r="F322" s="14" t="s">
        <v>204</v>
      </c>
      <c r="G322" s="19">
        <v>29.0</v>
      </c>
      <c r="H322" s="14" t="s">
        <v>205</v>
      </c>
    </row>
    <row r="323" ht="18.0" customHeight="1">
      <c r="A323" s="14" t="s">
        <v>489</v>
      </c>
      <c r="B323" s="14" t="s">
        <v>471</v>
      </c>
      <c r="C323" s="16">
        <v>0.4583333333333333</v>
      </c>
      <c r="D323" s="16">
        <v>0.5416666666666666</v>
      </c>
      <c r="E323" s="14" t="s">
        <v>510</v>
      </c>
      <c r="F323" s="14" t="s">
        <v>47</v>
      </c>
      <c r="G323" s="19">
        <v>35.0</v>
      </c>
      <c r="H323" s="14" t="s">
        <v>48</v>
      </c>
    </row>
    <row r="324" ht="18.0" customHeight="1">
      <c r="A324" s="14" t="s">
        <v>489</v>
      </c>
      <c r="B324" s="14" t="s">
        <v>471</v>
      </c>
      <c r="C324" s="16">
        <v>0.4583333333333333</v>
      </c>
      <c r="D324" s="16">
        <v>0.5416666666666666</v>
      </c>
      <c r="E324" s="14" t="s">
        <v>511</v>
      </c>
      <c r="F324" s="14" t="s">
        <v>456</v>
      </c>
      <c r="G324" s="19">
        <v>12.0</v>
      </c>
      <c r="H324" s="14" t="s">
        <v>45</v>
      </c>
    </row>
    <row r="325" ht="18.0" customHeight="1">
      <c r="A325" s="14" t="s">
        <v>489</v>
      </c>
      <c r="B325" s="14" t="s">
        <v>471</v>
      </c>
      <c r="C325" s="16">
        <v>0.4583333333333333</v>
      </c>
      <c r="D325" s="16">
        <v>0.5416666666666666</v>
      </c>
      <c r="E325" s="14" t="s">
        <v>512</v>
      </c>
      <c r="F325" s="14" t="s">
        <v>50</v>
      </c>
      <c r="G325" s="19">
        <v>43.0</v>
      </c>
      <c r="H325" s="14" t="s">
        <v>51</v>
      </c>
    </row>
    <row r="326" ht="18.0" customHeight="1">
      <c r="A326" s="14" t="s">
        <v>489</v>
      </c>
      <c r="B326" s="14" t="s">
        <v>471</v>
      </c>
      <c r="C326" s="16">
        <v>0.4583333333333333</v>
      </c>
      <c r="D326" s="16">
        <v>0.5416666666666666</v>
      </c>
      <c r="E326" s="14" t="s">
        <v>513</v>
      </c>
      <c r="F326" s="14" t="s">
        <v>357</v>
      </c>
      <c r="G326" s="19">
        <v>35.0</v>
      </c>
      <c r="H326" s="14" t="s">
        <v>514</v>
      </c>
    </row>
    <row r="327" ht="18.0" customHeight="1">
      <c r="A327" s="24" t="s">
        <v>489</v>
      </c>
      <c r="B327" s="24" t="s">
        <v>471</v>
      </c>
      <c r="C327" s="25">
        <v>0.4583333333333333</v>
      </c>
      <c r="D327" s="16">
        <v>0.5416666666666666</v>
      </c>
      <c r="E327" s="24" t="s">
        <v>515</v>
      </c>
      <c r="F327" s="24" t="s">
        <v>56</v>
      </c>
      <c r="G327" s="27">
        <v>36.0</v>
      </c>
      <c r="H327" s="24" t="s">
        <v>57</v>
      </c>
    </row>
    <row r="328" ht="18.0" customHeight="1">
      <c r="A328" s="28" t="s">
        <v>489</v>
      </c>
      <c r="B328" s="29" t="s">
        <v>471</v>
      </c>
      <c r="C328" s="30">
        <v>0.4583333333333333</v>
      </c>
      <c r="D328" s="30">
        <v>0.5416666666666666</v>
      </c>
      <c r="E328" s="29" t="s">
        <v>516</v>
      </c>
      <c r="F328" s="29" t="s">
        <v>66</v>
      </c>
      <c r="G328" s="31">
        <v>37.0</v>
      </c>
      <c r="H328" s="33" t="s">
        <v>67</v>
      </c>
    </row>
    <row r="329" ht="18.0" customHeight="1">
      <c r="A329" s="17" t="s">
        <v>489</v>
      </c>
      <c r="B329" s="34" t="s">
        <v>471</v>
      </c>
      <c r="C329" s="35">
        <v>0.4583333333333333</v>
      </c>
      <c r="D329" s="35">
        <v>0.5416666666666666</v>
      </c>
      <c r="E329" s="36" t="s">
        <v>517</v>
      </c>
      <c r="F329" s="37" t="s">
        <v>32</v>
      </c>
      <c r="G329" s="29">
        <v>34.0</v>
      </c>
      <c r="H329" s="29" t="s">
        <v>173</v>
      </c>
    </row>
    <row r="330" ht="18.0" customHeight="1">
      <c r="A330" s="14" t="s">
        <v>489</v>
      </c>
      <c r="B330" s="14" t="s">
        <v>471</v>
      </c>
      <c r="C330" s="16">
        <v>0.4583333333333333</v>
      </c>
      <c r="D330" s="16">
        <v>0.5416666666666666</v>
      </c>
      <c r="E330" s="14" t="s">
        <v>518</v>
      </c>
      <c r="F330" s="17" t="s">
        <v>335</v>
      </c>
      <c r="G330" s="18">
        <v>25.0</v>
      </c>
      <c r="H330" s="17" t="s">
        <v>519</v>
      </c>
    </row>
    <row r="331" ht="18.0" customHeight="1">
      <c r="A331" s="14" t="s">
        <v>489</v>
      </c>
      <c r="B331" s="14" t="s">
        <v>471</v>
      </c>
      <c r="C331" s="16">
        <v>0.4583333333333333</v>
      </c>
      <c r="D331" s="16">
        <v>0.5416666666666666</v>
      </c>
      <c r="E331" s="14" t="s">
        <v>520</v>
      </c>
      <c r="F331" s="14" t="s">
        <v>342</v>
      </c>
      <c r="G331" s="19">
        <v>15.0</v>
      </c>
      <c r="H331" s="14" t="s">
        <v>43</v>
      </c>
    </row>
    <row r="332" ht="18.0" customHeight="1">
      <c r="A332" s="14" t="s">
        <v>489</v>
      </c>
      <c r="B332" s="14" t="s">
        <v>471</v>
      </c>
      <c r="C332" s="16">
        <v>0.4583333333333333</v>
      </c>
      <c r="D332" s="16">
        <v>0.5416666666666666</v>
      </c>
      <c r="E332" s="14" t="s">
        <v>521</v>
      </c>
      <c r="F332" s="14" t="s">
        <v>342</v>
      </c>
      <c r="G332" s="19">
        <v>36.0</v>
      </c>
      <c r="H332" s="14" t="s">
        <v>522</v>
      </c>
    </row>
    <row r="333" ht="18.0" customHeight="1">
      <c r="A333" s="14" t="s">
        <v>489</v>
      </c>
      <c r="B333" s="14" t="s">
        <v>471</v>
      </c>
      <c r="C333" s="16">
        <v>0.4583333333333333</v>
      </c>
      <c r="D333" s="16">
        <v>0.5416666666666666</v>
      </c>
      <c r="E333" s="14" t="s">
        <v>523</v>
      </c>
      <c r="F333" s="14" t="s">
        <v>266</v>
      </c>
      <c r="G333" s="19">
        <v>34.0</v>
      </c>
      <c r="H333" s="14" t="s">
        <v>524</v>
      </c>
    </row>
    <row r="334" ht="18.0" customHeight="1">
      <c r="A334" s="8"/>
      <c r="B334" s="21"/>
      <c r="C334" s="10"/>
      <c r="D334" s="10"/>
      <c r="E334" s="21"/>
      <c r="F334" s="21"/>
      <c r="G334" s="22">
        <v>912.0</v>
      </c>
      <c r="H334" s="21"/>
    </row>
    <row r="335" ht="24.0" customHeight="1">
      <c r="A335" s="8"/>
      <c r="B335" s="9" t="s">
        <v>469</v>
      </c>
      <c r="C335" s="10"/>
      <c r="D335" s="10"/>
      <c r="E335" s="21"/>
      <c r="F335" s="23" t="s">
        <v>525</v>
      </c>
      <c r="G335" s="22"/>
      <c r="H335" s="21"/>
    </row>
    <row r="336" ht="18.0" customHeight="1">
      <c r="A336" s="14" t="s">
        <v>526</v>
      </c>
      <c r="B336" s="14" t="s">
        <v>471</v>
      </c>
      <c r="C336" s="16">
        <v>0.625</v>
      </c>
      <c r="D336" s="16">
        <v>0.7083333333333334</v>
      </c>
      <c r="E336" s="14" t="s">
        <v>527</v>
      </c>
      <c r="F336" s="14" t="s">
        <v>528</v>
      </c>
      <c r="G336" s="19">
        <v>40.0</v>
      </c>
      <c r="H336" s="14" t="s">
        <v>420</v>
      </c>
    </row>
    <row r="337" ht="18.0" customHeight="1">
      <c r="A337" s="14" t="s">
        <v>526</v>
      </c>
      <c r="B337" s="14" t="s">
        <v>471</v>
      </c>
      <c r="C337" s="16">
        <v>0.625</v>
      </c>
      <c r="D337" s="16">
        <v>0.7083333333333334</v>
      </c>
      <c r="E337" s="14" t="s">
        <v>529</v>
      </c>
      <c r="F337" s="14" t="s">
        <v>528</v>
      </c>
      <c r="G337" s="19">
        <v>40.0</v>
      </c>
      <c r="H337" s="14" t="s">
        <v>420</v>
      </c>
    </row>
    <row r="338" ht="18.0" customHeight="1">
      <c r="A338" s="14" t="s">
        <v>526</v>
      </c>
      <c r="B338" s="14" t="s">
        <v>471</v>
      </c>
      <c r="C338" s="16">
        <v>0.625</v>
      </c>
      <c r="D338" s="16">
        <v>0.7083333333333334</v>
      </c>
      <c r="E338" s="14" t="s">
        <v>530</v>
      </c>
      <c r="F338" s="14" t="s">
        <v>275</v>
      </c>
      <c r="G338" s="19">
        <v>24.0</v>
      </c>
      <c r="H338" s="14" t="s">
        <v>481</v>
      </c>
    </row>
    <row r="339" ht="18.0" customHeight="1">
      <c r="A339" s="14" t="s">
        <v>526</v>
      </c>
      <c r="B339" s="14" t="s">
        <v>471</v>
      </c>
      <c r="C339" s="16">
        <v>0.625</v>
      </c>
      <c r="D339" s="16">
        <v>0.7083333333333334</v>
      </c>
      <c r="E339" s="14" t="s">
        <v>531</v>
      </c>
      <c r="F339" s="14" t="s">
        <v>275</v>
      </c>
      <c r="G339" s="19">
        <v>40.0</v>
      </c>
      <c r="H339" s="14" t="s">
        <v>532</v>
      </c>
    </row>
    <row r="340" ht="18.0" customHeight="1">
      <c r="A340" s="14" t="s">
        <v>526</v>
      </c>
      <c r="B340" s="14" t="s">
        <v>471</v>
      </c>
      <c r="C340" s="16">
        <v>0.625</v>
      </c>
      <c r="D340" s="16">
        <v>0.7083333333333334</v>
      </c>
      <c r="E340" s="14" t="s">
        <v>533</v>
      </c>
      <c r="F340" s="14" t="s">
        <v>275</v>
      </c>
      <c r="G340" s="19">
        <v>40.0</v>
      </c>
      <c r="H340" s="14" t="s">
        <v>532</v>
      </c>
    </row>
    <row r="341" ht="18.0" customHeight="1">
      <c r="A341" s="14" t="s">
        <v>526</v>
      </c>
      <c r="B341" s="14" t="s">
        <v>471</v>
      </c>
      <c r="C341" s="16">
        <v>0.625</v>
      </c>
      <c r="D341" s="16">
        <v>0.7083333333333334</v>
      </c>
      <c r="E341" s="14" t="s">
        <v>534</v>
      </c>
      <c r="F341" s="14" t="s">
        <v>275</v>
      </c>
      <c r="G341" s="19">
        <v>40.0</v>
      </c>
      <c r="H341" s="14" t="s">
        <v>319</v>
      </c>
    </row>
    <row r="342" ht="18.0" customHeight="1">
      <c r="A342" s="14" t="s">
        <v>526</v>
      </c>
      <c r="B342" s="14" t="s">
        <v>471</v>
      </c>
      <c r="C342" s="16">
        <v>0.625</v>
      </c>
      <c r="D342" s="16">
        <v>0.7083333333333334</v>
      </c>
      <c r="E342" s="14" t="s">
        <v>535</v>
      </c>
      <c r="F342" s="14" t="s">
        <v>275</v>
      </c>
      <c r="G342" s="19">
        <v>40.0</v>
      </c>
      <c r="H342" s="14" t="s">
        <v>319</v>
      </c>
    </row>
    <row r="343" ht="18.0" customHeight="1">
      <c r="A343" s="14" t="s">
        <v>526</v>
      </c>
      <c r="B343" s="14" t="s">
        <v>471</v>
      </c>
      <c r="C343" s="16">
        <v>0.625</v>
      </c>
      <c r="D343" s="16">
        <v>0.7083333333333334</v>
      </c>
      <c r="E343" s="14" t="s">
        <v>536</v>
      </c>
      <c r="F343" s="14" t="s">
        <v>275</v>
      </c>
      <c r="G343" s="19">
        <v>41.0</v>
      </c>
      <c r="H343" s="14" t="s">
        <v>537</v>
      </c>
    </row>
    <row r="344" ht="18.0" customHeight="1">
      <c r="A344" s="14" t="s">
        <v>526</v>
      </c>
      <c r="B344" s="14" t="s">
        <v>471</v>
      </c>
      <c r="C344" s="16">
        <v>0.625</v>
      </c>
      <c r="D344" s="16">
        <v>0.7083333333333334</v>
      </c>
      <c r="E344" s="14" t="s">
        <v>538</v>
      </c>
      <c r="F344" s="14" t="s">
        <v>275</v>
      </c>
      <c r="G344" s="19">
        <v>40.0</v>
      </c>
      <c r="H344" s="14" t="s">
        <v>537</v>
      </c>
    </row>
    <row r="345" ht="18.0" customHeight="1">
      <c r="A345" s="14" t="s">
        <v>526</v>
      </c>
      <c r="B345" s="14" t="s">
        <v>471</v>
      </c>
      <c r="C345" s="16">
        <v>0.625</v>
      </c>
      <c r="D345" s="16">
        <v>0.7083333333333334</v>
      </c>
      <c r="E345" s="14" t="s">
        <v>539</v>
      </c>
      <c r="F345" s="14" t="s">
        <v>456</v>
      </c>
      <c r="G345" s="19">
        <v>1.0</v>
      </c>
      <c r="H345" s="14" t="s">
        <v>540</v>
      </c>
    </row>
    <row r="346" ht="18.0" customHeight="1">
      <c r="A346" s="14" t="s">
        <v>526</v>
      </c>
      <c r="B346" s="14" t="s">
        <v>471</v>
      </c>
      <c r="C346" s="16">
        <v>0.625</v>
      </c>
      <c r="D346" s="16">
        <v>0.7083333333333334</v>
      </c>
      <c r="E346" s="14" t="s">
        <v>541</v>
      </c>
      <c r="F346" s="14" t="s">
        <v>456</v>
      </c>
      <c r="G346" s="19">
        <v>38.0</v>
      </c>
      <c r="H346" s="14" t="s">
        <v>390</v>
      </c>
    </row>
    <row r="347" ht="18.0" customHeight="1">
      <c r="A347" s="14" t="s">
        <v>526</v>
      </c>
      <c r="B347" s="14" t="s">
        <v>471</v>
      </c>
      <c r="C347" s="16">
        <v>0.625</v>
      </c>
      <c r="D347" s="16">
        <v>0.7083333333333334</v>
      </c>
      <c r="E347" s="14" t="s">
        <v>542</v>
      </c>
      <c r="F347" s="14" t="s">
        <v>456</v>
      </c>
      <c r="G347" s="19">
        <v>37.0</v>
      </c>
      <c r="H347" s="14" t="s">
        <v>540</v>
      </c>
    </row>
    <row r="348" ht="18.0" customHeight="1">
      <c r="A348" s="24" t="s">
        <v>526</v>
      </c>
      <c r="B348" s="24" t="s">
        <v>471</v>
      </c>
      <c r="C348" s="16">
        <v>0.625</v>
      </c>
      <c r="D348" s="16">
        <v>0.7083333333333334</v>
      </c>
      <c r="E348" s="24" t="s">
        <v>543</v>
      </c>
      <c r="F348" s="24" t="s">
        <v>456</v>
      </c>
      <c r="G348" s="27">
        <v>36.0</v>
      </c>
      <c r="H348" s="24" t="s">
        <v>540</v>
      </c>
    </row>
    <row r="349" ht="18.0" customHeight="1">
      <c r="A349" s="28" t="s">
        <v>526</v>
      </c>
      <c r="B349" s="29" t="s">
        <v>471</v>
      </c>
      <c r="C349" s="30">
        <v>0.625</v>
      </c>
      <c r="D349" s="30">
        <v>0.7083333333333334</v>
      </c>
      <c r="E349" s="29" t="s">
        <v>544</v>
      </c>
      <c r="F349" s="29" t="s">
        <v>456</v>
      </c>
      <c r="G349" s="31">
        <v>20.0</v>
      </c>
      <c r="H349" s="33" t="s">
        <v>540</v>
      </c>
    </row>
    <row r="350" ht="18.0" customHeight="1">
      <c r="A350" s="17" t="s">
        <v>526</v>
      </c>
      <c r="B350" s="34" t="s">
        <v>471</v>
      </c>
      <c r="C350" s="35">
        <v>0.625</v>
      </c>
      <c r="D350" s="35">
        <v>0.7083333333333334</v>
      </c>
      <c r="E350" s="36" t="s">
        <v>546</v>
      </c>
      <c r="F350" s="37" t="s">
        <v>456</v>
      </c>
      <c r="G350" s="29">
        <v>37.0</v>
      </c>
      <c r="H350" s="29" t="s">
        <v>276</v>
      </c>
    </row>
    <row r="351" ht="18.0" customHeight="1">
      <c r="A351" s="14" t="s">
        <v>526</v>
      </c>
      <c r="B351" s="14" t="s">
        <v>471</v>
      </c>
      <c r="C351" s="16">
        <v>0.625</v>
      </c>
      <c r="D351" s="16">
        <v>0.7083333333333334</v>
      </c>
      <c r="E351" s="14" t="s">
        <v>547</v>
      </c>
      <c r="F351" s="17" t="s">
        <v>456</v>
      </c>
      <c r="G351" s="18">
        <v>39.0</v>
      </c>
      <c r="H351" s="17" t="s">
        <v>390</v>
      </c>
    </row>
    <row r="352" ht="18.0" customHeight="1">
      <c r="A352" s="14" t="s">
        <v>526</v>
      </c>
      <c r="B352" s="14" t="s">
        <v>471</v>
      </c>
      <c r="C352" s="16">
        <v>0.625</v>
      </c>
      <c r="D352" s="16">
        <v>0.7083333333333334</v>
      </c>
      <c r="E352" s="14" t="s">
        <v>548</v>
      </c>
      <c r="F352" s="14" t="s">
        <v>69</v>
      </c>
      <c r="G352" s="19">
        <v>1.0</v>
      </c>
      <c r="H352" s="14" t="s">
        <v>549</v>
      </c>
    </row>
    <row r="353" ht="18.0" customHeight="1">
      <c r="A353" s="24" t="s">
        <v>526</v>
      </c>
      <c r="B353" s="24" t="s">
        <v>471</v>
      </c>
      <c r="C353" s="25">
        <v>0.625</v>
      </c>
      <c r="D353" s="25">
        <v>0.7083333333333334</v>
      </c>
      <c r="E353" s="24" t="s">
        <v>550</v>
      </c>
      <c r="F353" s="24" t="s">
        <v>69</v>
      </c>
      <c r="G353" s="27">
        <v>40.0</v>
      </c>
      <c r="H353" s="24" t="s">
        <v>549</v>
      </c>
    </row>
    <row r="354" ht="18.0" customHeight="1">
      <c r="A354" s="28" t="s">
        <v>526</v>
      </c>
      <c r="B354" s="29" t="s">
        <v>471</v>
      </c>
      <c r="C354" s="30">
        <v>0.625</v>
      </c>
      <c r="D354" s="30">
        <v>0.7083333333333334</v>
      </c>
      <c r="E354" s="29" t="s">
        <v>551</v>
      </c>
      <c r="F354" s="29" t="s">
        <v>69</v>
      </c>
      <c r="G354" s="31">
        <v>38.0</v>
      </c>
      <c r="H354" s="33" t="s">
        <v>549</v>
      </c>
    </row>
    <row r="355" ht="18.0" customHeight="1">
      <c r="A355" s="17" t="s">
        <v>526</v>
      </c>
      <c r="B355" s="34" t="s">
        <v>471</v>
      </c>
      <c r="C355" s="35">
        <v>0.625</v>
      </c>
      <c r="D355" s="35">
        <v>0.7083333333333334</v>
      </c>
      <c r="E355" s="36" t="s">
        <v>552</v>
      </c>
      <c r="F355" s="37" t="s">
        <v>69</v>
      </c>
      <c r="G355" s="29">
        <v>40.0</v>
      </c>
      <c r="H355" s="29" t="s">
        <v>549</v>
      </c>
    </row>
    <row r="356" ht="18.0" customHeight="1">
      <c r="A356" s="14" t="s">
        <v>526</v>
      </c>
      <c r="B356" s="14" t="s">
        <v>471</v>
      </c>
      <c r="C356" s="16">
        <v>0.625</v>
      </c>
      <c r="D356" s="16">
        <v>0.7083333333333334</v>
      </c>
      <c r="E356" s="14" t="s">
        <v>553</v>
      </c>
      <c r="F356" s="17" t="s">
        <v>266</v>
      </c>
      <c r="G356" s="18">
        <v>36.0</v>
      </c>
      <c r="H356" s="17" t="s">
        <v>554</v>
      </c>
    </row>
    <row r="357" ht="18.0" customHeight="1">
      <c r="A357" s="14" t="s">
        <v>526</v>
      </c>
      <c r="B357" s="14" t="s">
        <v>471</v>
      </c>
      <c r="C357" s="16">
        <v>0.625</v>
      </c>
      <c r="D357" s="16">
        <v>0.7083333333333334</v>
      </c>
      <c r="E357" s="14" t="s">
        <v>555</v>
      </c>
      <c r="F357" s="14" t="s">
        <v>266</v>
      </c>
      <c r="G357" s="19">
        <v>38.0</v>
      </c>
      <c r="H357" s="14" t="s">
        <v>554</v>
      </c>
    </row>
    <row r="358" ht="18.0" customHeight="1">
      <c r="A358" s="14" t="s">
        <v>526</v>
      </c>
      <c r="B358" s="14" t="s">
        <v>471</v>
      </c>
      <c r="C358" s="16">
        <v>0.625</v>
      </c>
      <c r="D358" s="16">
        <v>0.7083333333333334</v>
      </c>
      <c r="E358" s="14" t="s">
        <v>556</v>
      </c>
      <c r="F358" s="14" t="s">
        <v>557</v>
      </c>
      <c r="G358" s="19">
        <v>43.0</v>
      </c>
      <c r="H358" s="14" t="s">
        <v>168</v>
      </c>
    </row>
    <row r="359" ht="18.0" customHeight="1">
      <c r="A359" s="14" t="s">
        <v>526</v>
      </c>
      <c r="B359" s="14" t="s">
        <v>471</v>
      </c>
      <c r="C359" s="16">
        <v>0.625</v>
      </c>
      <c r="D359" s="16">
        <v>0.7083333333333334</v>
      </c>
      <c r="E359" s="14" t="s">
        <v>558</v>
      </c>
      <c r="F359" s="14" t="s">
        <v>53</v>
      </c>
      <c r="G359" s="19">
        <v>44.0</v>
      </c>
      <c r="H359" s="14" t="s">
        <v>54</v>
      </c>
    </row>
    <row r="360" ht="18.0" customHeight="1">
      <c r="A360" s="14" t="s">
        <v>526</v>
      </c>
      <c r="B360" s="14" t="s">
        <v>471</v>
      </c>
      <c r="C360" s="16">
        <v>0.625</v>
      </c>
      <c r="D360" s="16">
        <v>0.7083333333333334</v>
      </c>
      <c r="E360" s="14" t="s">
        <v>559</v>
      </c>
      <c r="F360" s="14" t="s">
        <v>62</v>
      </c>
      <c r="G360" s="19">
        <v>41.0</v>
      </c>
      <c r="H360" s="14" t="s">
        <v>63</v>
      </c>
    </row>
    <row r="361" ht="18.0" customHeight="1">
      <c r="A361" s="14" t="s">
        <v>526</v>
      </c>
      <c r="B361" s="14" t="s">
        <v>471</v>
      </c>
      <c r="C361" s="16">
        <v>0.625</v>
      </c>
      <c r="D361" s="16">
        <v>0.7083333333333334</v>
      </c>
      <c r="E361" s="14" t="s">
        <v>560</v>
      </c>
      <c r="F361" s="14" t="s">
        <v>35</v>
      </c>
      <c r="G361" s="19">
        <v>43.0</v>
      </c>
      <c r="H361" s="14" t="s">
        <v>447</v>
      </c>
    </row>
    <row r="362" ht="18.0" customHeight="1">
      <c r="A362" s="24" t="s">
        <v>526</v>
      </c>
      <c r="B362" s="24" t="s">
        <v>471</v>
      </c>
      <c r="C362" s="25">
        <v>0.625</v>
      </c>
      <c r="D362" s="16">
        <v>0.7083333333333334</v>
      </c>
      <c r="E362" s="24" t="s">
        <v>561</v>
      </c>
      <c r="F362" s="24" t="s">
        <v>425</v>
      </c>
      <c r="G362" s="27">
        <v>33.0</v>
      </c>
      <c r="H362" s="24" t="s">
        <v>76</v>
      </c>
    </row>
    <row r="363" ht="18.0" customHeight="1">
      <c r="A363" s="13"/>
      <c r="B363" s="13"/>
      <c r="C363" s="41"/>
      <c r="D363" s="41"/>
      <c r="E363" s="13"/>
      <c r="F363" s="13"/>
      <c r="G363" s="42">
        <v>950.0</v>
      </c>
      <c r="H363" s="42"/>
    </row>
    <row r="364" ht="24.0" customHeight="1">
      <c r="A364" s="8"/>
      <c r="B364" s="9" t="s">
        <v>469</v>
      </c>
      <c r="C364" s="10"/>
      <c r="D364" s="10"/>
      <c r="E364" s="11"/>
      <c r="F364" s="12" t="s">
        <v>562</v>
      </c>
      <c r="G364" s="13"/>
      <c r="H364" s="13"/>
    </row>
    <row r="365" ht="18.0" customHeight="1">
      <c r="A365" s="14" t="s">
        <v>563</v>
      </c>
      <c r="B365" s="14" t="s">
        <v>471</v>
      </c>
      <c r="C365" s="16">
        <v>0.7291666666666666</v>
      </c>
      <c r="D365" s="16">
        <v>0.8125</v>
      </c>
      <c r="E365" s="14" t="s">
        <v>564</v>
      </c>
      <c r="F365" s="17" t="s">
        <v>275</v>
      </c>
      <c r="G365" s="18">
        <v>45.0</v>
      </c>
      <c r="H365" s="17" t="s">
        <v>565</v>
      </c>
    </row>
    <row r="366" ht="18.0" customHeight="1">
      <c r="A366" s="14" t="s">
        <v>563</v>
      </c>
      <c r="B366" s="14" t="s">
        <v>471</v>
      </c>
      <c r="C366" s="16">
        <v>0.7291666666666666</v>
      </c>
      <c r="D366" s="16">
        <v>0.8125</v>
      </c>
      <c r="E366" s="14" t="s">
        <v>566</v>
      </c>
      <c r="F366" s="14" t="s">
        <v>357</v>
      </c>
      <c r="G366" s="19">
        <v>41.0</v>
      </c>
      <c r="H366" s="14" t="s">
        <v>514</v>
      </c>
    </row>
    <row r="367" ht="18.0" customHeight="1">
      <c r="A367" s="14" t="s">
        <v>563</v>
      </c>
      <c r="B367" s="14" t="s">
        <v>471</v>
      </c>
      <c r="C367" s="16">
        <v>0.7291666666666666</v>
      </c>
      <c r="D367" s="16">
        <v>0.8125</v>
      </c>
      <c r="E367" s="14" t="s">
        <v>567</v>
      </c>
      <c r="F367" s="14" t="s">
        <v>59</v>
      </c>
      <c r="G367" s="19">
        <v>39.0</v>
      </c>
      <c r="H367" s="14" t="s">
        <v>568</v>
      </c>
    </row>
    <row r="368" ht="18.0" customHeight="1">
      <c r="A368" s="14" t="s">
        <v>563</v>
      </c>
      <c r="B368" s="14" t="s">
        <v>471</v>
      </c>
      <c r="C368" s="16">
        <v>0.7291666666666666</v>
      </c>
      <c r="D368" s="16">
        <v>0.8125</v>
      </c>
      <c r="E368" s="14" t="s">
        <v>569</v>
      </c>
      <c r="F368" s="14" t="s">
        <v>335</v>
      </c>
      <c r="G368" s="19">
        <v>43.0</v>
      </c>
      <c r="H368" s="14" t="s">
        <v>519</v>
      </c>
    </row>
    <row r="369" ht="18.0" customHeight="1">
      <c r="A369" s="14" t="s">
        <v>563</v>
      </c>
      <c r="B369" s="14" t="s">
        <v>471</v>
      </c>
      <c r="C369" s="16">
        <v>0.7291666666666666</v>
      </c>
      <c r="D369" s="16">
        <v>0.8125</v>
      </c>
      <c r="E369" s="14" t="s">
        <v>570</v>
      </c>
      <c r="F369" s="14" t="s">
        <v>571</v>
      </c>
      <c r="G369" s="19">
        <v>41.0</v>
      </c>
      <c r="H369" s="14" t="s">
        <v>39</v>
      </c>
    </row>
    <row r="370" ht="18.0" customHeight="1">
      <c r="A370" s="14" t="s">
        <v>563</v>
      </c>
      <c r="B370" s="14" t="s">
        <v>471</v>
      </c>
      <c r="C370" s="16">
        <v>0.7291666666666666</v>
      </c>
      <c r="D370" s="16">
        <v>0.8125</v>
      </c>
      <c r="E370" s="14" t="s">
        <v>572</v>
      </c>
      <c r="F370" s="14" t="s">
        <v>571</v>
      </c>
      <c r="G370" s="19">
        <v>1.0</v>
      </c>
      <c r="H370" s="14" t="s">
        <v>39</v>
      </c>
    </row>
    <row r="371" ht="18.0" customHeight="1">
      <c r="A371" s="14" t="s">
        <v>563</v>
      </c>
      <c r="B371" s="14" t="s">
        <v>471</v>
      </c>
      <c r="C371" s="16">
        <v>0.7291666666666666</v>
      </c>
      <c r="D371" s="16">
        <v>0.8125</v>
      </c>
      <c r="E371" s="14" t="s">
        <v>574</v>
      </c>
      <c r="F371" s="14" t="s">
        <v>130</v>
      </c>
      <c r="G371" s="19">
        <v>32.0</v>
      </c>
      <c r="H371" s="14" t="s">
        <v>575</v>
      </c>
    </row>
    <row r="372" ht="18.0" customHeight="1">
      <c r="A372" s="8"/>
      <c r="B372" s="21"/>
      <c r="C372" s="10"/>
      <c r="D372" s="10"/>
      <c r="E372" s="21"/>
      <c r="F372" s="21"/>
      <c r="G372" s="22">
        <v>242.0</v>
      </c>
      <c r="H372" s="21"/>
    </row>
    <row r="373" ht="24.0" customHeight="1">
      <c r="A373" s="8"/>
      <c r="B373" s="9" t="s">
        <v>14</v>
      </c>
      <c r="C373" s="10"/>
      <c r="D373" s="10"/>
      <c r="E373" s="21"/>
      <c r="F373" s="23" t="s">
        <v>576</v>
      </c>
      <c r="G373" s="22"/>
      <c r="H373" s="21"/>
    </row>
    <row r="374" ht="18.0" customHeight="1">
      <c r="A374" s="14" t="s">
        <v>577</v>
      </c>
      <c r="B374" s="14" t="s">
        <v>578</v>
      </c>
      <c r="C374" s="16">
        <v>0.3333333333333333</v>
      </c>
      <c r="D374" s="16">
        <v>0.4166666666666667</v>
      </c>
      <c r="E374" s="14" t="s">
        <v>579</v>
      </c>
      <c r="F374" s="14" t="s">
        <v>353</v>
      </c>
      <c r="G374" s="19">
        <v>27.0</v>
      </c>
      <c r="H374" s="14" t="s">
        <v>387</v>
      </c>
    </row>
    <row r="375" ht="18.0" customHeight="1">
      <c r="A375" s="14" t="s">
        <v>577</v>
      </c>
      <c r="B375" s="14" t="s">
        <v>578</v>
      </c>
      <c r="C375" s="16">
        <v>0.3333333333333333</v>
      </c>
      <c r="D375" s="16">
        <v>0.4166666666666667</v>
      </c>
      <c r="E375" s="14" t="s">
        <v>580</v>
      </c>
      <c r="F375" s="14" t="s">
        <v>528</v>
      </c>
      <c r="G375" s="19">
        <v>43.0</v>
      </c>
      <c r="H375" s="14" t="s">
        <v>387</v>
      </c>
    </row>
    <row r="376" ht="18.0" customHeight="1">
      <c r="A376" s="14" t="s">
        <v>577</v>
      </c>
      <c r="B376" s="14" t="s">
        <v>578</v>
      </c>
      <c r="C376" s="16">
        <v>0.3333333333333333</v>
      </c>
      <c r="D376" s="16">
        <v>0.4166666666666667</v>
      </c>
      <c r="E376" s="14" t="s">
        <v>581</v>
      </c>
      <c r="F376" s="14" t="s">
        <v>528</v>
      </c>
      <c r="G376" s="19">
        <v>13.0</v>
      </c>
      <c r="H376" s="14" t="s">
        <v>387</v>
      </c>
    </row>
    <row r="377" ht="18.0" customHeight="1">
      <c r="A377" s="14" t="s">
        <v>577</v>
      </c>
      <c r="B377" s="14" t="s">
        <v>578</v>
      </c>
      <c r="C377" s="16">
        <v>0.3333333333333333</v>
      </c>
      <c r="D377" s="16">
        <v>0.4166666666666667</v>
      </c>
      <c r="E377" s="14" t="s">
        <v>582</v>
      </c>
      <c r="F377" s="14" t="s">
        <v>136</v>
      </c>
      <c r="G377" s="19">
        <v>40.0</v>
      </c>
      <c r="H377" s="14" t="s">
        <v>19</v>
      </c>
    </row>
    <row r="378" ht="18.0" customHeight="1">
      <c r="A378" s="24" t="s">
        <v>577</v>
      </c>
      <c r="B378" s="24" t="s">
        <v>578</v>
      </c>
      <c r="C378" s="16">
        <v>0.3333333333333333</v>
      </c>
      <c r="D378" s="16">
        <v>0.4166666666666667</v>
      </c>
      <c r="E378" s="24" t="s">
        <v>583</v>
      </c>
      <c r="F378" s="24" t="s">
        <v>42</v>
      </c>
      <c r="G378" s="27">
        <v>23.0</v>
      </c>
      <c r="H378" s="24" t="s">
        <v>343</v>
      </c>
    </row>
    <row r="379" ht="18.0" customHeight="1">
      <c r="A379" s="28" t="s">
        <v>577</v>
      </c>
      <c r="B379" s="29" t="s">
        <v>578</v>
      </c>
      <c r="C379" s="30">
        <v>0.3333333333333333</v>
      </c>
      <c r="D379" s="30">
        <v>0.4166666666666667</v>
      </c>
      <c r="E379" s="29" t="s">
        <v>584</v>
      </c>
      <c r="F379" s="29" t="s">
        <v>56</v>
      </c>
      <c r="G379" s="31">
        <v>40.0</v>
      </c>
      <c r="H379" s="33" t="s">
        <v>585</v>
      </c>
    </row>
    <row r="380" ht="18.0" customHeight="1">
      <c r="A380" s="17" t="s">
        <v>577</v>
      </c>
      <c r="B380" s="34" t="s">
        <v>578</v>
      </c>
      <c r="C380" s="35">
        <v>0.3333333333333333</v>
      </c>
      <c r="D380" s="35">
        <v>0.4166666666666667</v>
      </c>
      <c r="E380" s="36" t="s">
        <v>586</v>
      </c>
      <c r="F380" s="37" t="s">
        <v>66</v>
      </c>
      <c r="G380" s="29">
        <v>40.0</v>
      </c>
      <c r="H380" s="29" t="s">
        <v>587</v>
      </c>
    </row>
    <row r="381" ht="18.0" customHeight="1">
      <c r="A381" s="14" t="s">
        <v>577</v>
      </c>
      <c r="B381" s="14" t="s">
        <v>578</v>
      </c>
      <c r="C381" s="16">
        <v>0.3333333333333333</v>
      </c>
      <c r="D381" s="16">
        <v>0.4166666666666667</v>
      </c>
      <c r="E381" s="14" t="s">
        <v>588</v>
      </c>
      <c r="F381" s="17" t="s">
        <v>66</v>
      </c>
      <c r="G381" s="18">
        <v>39.0</v>
      </c>
      <c r="H381" s="17" t="s">
        <v>317</v>
      </c>
    </row>
    <row r="382" ht="18.0" customHeight="1">
      <c r="A382" s="14" t="s">
        <v>577</v>
      </c>
      <c r="B382" s="14" t="s">
        <v>578</v>
      </c>
      <c r="C382" s="16">
        <v>0.3333333333333333</v>
      </c>
      <c r="D382" s="16">
        <v>0.4166666666666667</v>
      </c>
      <c r="E382" s="14" t="s">
        <v>589</v>
      </c>
      <c r="F382" s="14" t="s">
        <v>66</v>
      </c>
      <c r="G382" s="19">
        <v>40.0</v>
      </c>
      <c r="H382" s="14" t="s">
        <v>587</v>
      </c>
    </row>
    <row r="383" ht="18.0" customHeight="1">
      <c r="A383" s="14" t="s">
        <v>577</v>
      </c>
      <c r="B383" s="14" t="s">
        <v>578</v>
      </c>
      <c r="C383" s="16">
        <v>0.3333333333333333</v>
      </c>
      <c r="D383" s="16">
        <v>0.4166666666666667</v>
      </c>
      <c r="E383" s="14" t="s">
        <v>590</v>
      </c>
      <c r="F383" s="14" t="s">
        <v>346</v>
      </c>
      <c r="G383" s="19">
        <v>39.0</v>
      </c>
      <c r="H383" s="14" t="s">
        <v>591</v>
      </c>
    </row>
    <row r="384" ht="18.0" customHeight="1">
      <c r="A384" s="14" t="s">
        <v>577</v>
      </c>
      <c r="B384" s="14" t="s">
        <v>578</v>
      </c>
      <c r="C384" s="16">
        <v>0.3333333333333333</v>
      </c>
      <c r="D384" s="16">
        <v>0.4166666666666667</v>
      </c>
      <c r="E384" s="14" t="s">
        <v>592</v>
      </c>
      <c r="F384" s="14" t="s">
        <v>346</v>
      </c>
      <c r="G384" s="19">
        <v>38.0</v>
      </c>
      <c r="H384" s="14" t="s">
        <v>591</v>
      </c>
    </row>
    <row r="385" ht="18.0" customHeight="1">
      <c r="A385" s="14" t="s">
        <v>577</v>
      </c>
      <c r="B385" s="14" t="s">
        <v>578</v>
      </c>
      <c r="C385" s="16">
        <v>0.3333333333333333</v>
      </c>
      <c r="D385" s="16">
        <v>0.4166666666666667</v>
      </c>
      <c r="E385" s="14" t="s">
        <v>593</v>
      </c>
      <c r="F385" s="14" t="s">
        <v>346</v>
      </c>
      <c r="G385" s="19">
        <v>38.0</v>
      </c>
      <c r="H385" s="14" t="s">
        <v>591</v>
      </c>
    </row>
    <row r="386" ht="18.0" customHeight="1">
      <c r="A386" s="14" t="s">
        <v>577</v>
      </c>
      <c r="B386" s="14" t="s">
        <v>578</v>
      </c>
      <c r="C386" s="16">
        <v>0.3333333333333333</v>
      </c>
      <c r="D386" s="16">
        <v>0.4166666666666667</v>
      </c>
      <c r="E386" s="14" t="s">
        <v>594</v>
      </c>
      <c r="F386" s="14" t="s">
        <v>425</v>
      </c>
      <c r="G386" s="19">
        <v>40.0</v>
      </c>
      <c r="H386" s="14" t="s">
        <v>127</v>
      </c>
    </row>
    <row r="387" ht="18.0" customHeight="1">
      <c r="A387" s="14" t="s">
        <v>577</v>
      </c>
      <c r="B387" s="14" t="s">
        <v>578</v>
      </c>
      <c r="C387" s="16">
        <v>0.3333333333333333</v>
      </c>
      <c r="D387" s="16">
        <v>0.4166666666666667</v>
      </c>
      <c r="E387" s="14" t="s">
        <v>595</v>
      </c>
      <c r="F387" s="14" t="s">
        <v>425</v>
      </c>
      <c r="G387" s="19">
        <v>40.0</v>
      </c>
      <c r="H387" s="14" t="s">
        <v>127</v>
      </c>
    </row>
    <row r="388" ht="18.0" customHeight="1">
      <c r="A388" s="14" t="s">
        <v>577</v>
      </c>
      <c r="B388" s="14" t="s">
        <v>578</v>
      </c>
      <c r="C388" s="16">
        <v>0.3333333333333333</v>
      </c>
      <c r="D388" s="16">
        <v>0.4166666666666667</v>
      </c>
      <c r="E388" s="14" t="s">
        <v>596</v>
      </c>
      <c r="F388" s="14" t="s">
        <v>425</v>
      </c>
      <c r="G388" s="19">
        <v>40.0</v>
      </c>
      <c r="H388" s="14" t="s">
        <v>597</v>
      </c>
    </row>
    <row r="389" ht="18.0" customHeight="1">
      <c r="A389" s="14" t="s">
        <v>577</v>
      </c>
      <c r="B389" s="14" t="s">
        <v>578</v>
      </c>
      <c r="C389" s="16">
        <v>0.3333333333333333</v>
      </c>
      <c r="D389" s="16">
        <v>0.4166666666666667</v>
      </c>
      <c r="E389" s="14" t="s">
        <v>598</v>
      </c>
      <c r="F389" s="14" t="s">
        <v>425</v>
      </c>
      <c r="G389" s="19">
        <v>40.0</v>
      </c>
      <c r="H389" s="14" t="s">
        <v>597</v>
      </c>
    </row>
    <row r="390" ht="18.0" customHeight="1">
      <c r="A390" s="14" t="s">
        <v>577</v>
      </c>
      <c r="B390" s="14" t="s">
        <v>578</v>
      </c>
      <c r="C390" s="16">
        <v>0.3333333333333333</v>
      </c>
      <c r="D390" s="16">
        <v>0.4166666666666667</v>
      </c>
      <c r="E390" s="14" t="s">
        <v>599</v>
      </c>
      <c r="F390" s="14" t="s">
        <v>425</v>
      </c>
      <c r="G390" s="19">
        <v>40.0</v>
      </c>
      <c r="H390" s="14" t="s">
        <v>127</v>
      </c>
    </row>
    <row r="391" ht="18.0" customHeight="1">
      <c r="A391" s="8"/>
      <c r="B391" s="21"/>
      <c r="C391" s="10"/>
      <c r="D391" s="10"/>
      <c r="E391" s="21"/>
      <c r="F391" s="21"/>
      <c r="G391" s="22">
        <v>620.0</v>
      </c>
      <c r="H391" s="21"/>
    </row>
    <row r="392" ht="24.0" customHeight="1">
      <c r="A392" s="8"/>
      <c r="B392" s="9" t="s">
        <v>14</v>
      </c>
      <c r="C392" s="10"/>
      <c r="D392" s="10"/>
      <c r="E392" s="21"/>
      <c r="F392" s="23" t="s">
        <v>600</v>
      </c>
      <c r="G392" s="22"/>
      <c r="H392" s="21"/>
    </row>
    <row r="393" ht="18.0" customHeight="1">
      <c r="A393" s="28" t="s">
        <v>601</v>
      </c>
      <c r="B393" s="29" t="s">
        <v>578</v>
      </c>
      <c r="C393" s="30">
        <v>0.4375</v>
      </c>
      <c r="D393" s="30">
        <v>0.5208333333333334</v>
      </c>
      <c r="E393" s="29" t="s">
        <v>602</v>
      </c>
      <c r="F393" s="29" t="s">
        <v>42</v>
      </c>
      <c r="G393" s="31">
        <v>33.0</v>
      </c>
      <c r="H393" s="33" t="s">
        <v>603</v>
      </c>
    </row>
    <row r="394" ht="18.0" customHeight="1">
      <c r="A394" s="17" t="s">
        <v>601</v>
      </c>
      <c r="B394" s="34" t="s">
        <v>578</v>
      </c>
      <c r="C394" s="35">
        <v>0.4375</v>
      </c>
      <c r="D394" s="35">
        <v>0.5208333333333334</v>
      </c>
      <c r="E394" s="36" t="s">
        <v>604</v>
      </c>
      <c r="F394" s="37" t="s">
        <v>42</v>
      </c>
      <c r="G394" s="29">
        <v>21.0</v>
      </c>
      <c r="H394" s="29" t="s">
        <v>603</v>
      </c>
    </row>
    <row r="395" ht="18.0" customHeight="1">
      <c r="A395" s="14" t="s">
        <v>601</v>
      </c>
      <c r="B395" s="14" t="s">
        <v>578</v>
      </c>
      <c r="C395" s="16">
        <v>0.4375</v>
      </c>
      <c r="D395" s="16">
        <v>0.5208333333333334</v>
      </c>
      <c r="E395" s="14" t="s">
        <v>605</v>
      </c>
      <c r="F395" s="17" t="s">
        <v>66</v>
      </c>
      <c r="G395" s="18">
        <v>40.0</v>
      </c>
      <c r="H395" s="17" t="s">
        <v>491</v>
      </c>
    </row>
    <row r="396" ht="18.0" customHeight="1">
      <c r="A396" s="14" t="s">
        <v>601</v>
      </c>
      <c r="B396" s="14" t="s">
        <v>578</v>
      </c>
      <c r="C396" s="16">
        <v>0.4375</v>
      </c>
      <c r="D396" s="16">
        <v>0.5208333333333334</v>
      </c>
      <c r="E396" s="14" t="s">
        <v>606</v>
      </c>
      <c r="F396" s="14" t="s">
        <v>66</v>
      </c>
      <c r="G396" s="19">
        <v>40.0</v>
      </c>
      <c r="H396" s="14" t="s">
        <v>491</v>
      </c>
    </row>
    <row r="397" ht="18.0" customHeight="1">
      <c r="A397" s="14" t="s">
        <v>601</v>
      </c>
      <c r="B397" s="14" t="s">
        <v>578</v>
      </c>
      <c r="C397" s="16">
        <v>0.4375</v>
      </c>
      <c r="D397" s="16">
        <v>0.5208333333333334</v>
      </c>
      <c r="E397" s="14" t="s">
        <v>607</v>
      </c>
      <c r="F397" s="14" t="s">
        <v>66</v>
      </c>
      <c r="G397" s="19">
        <v>39.0</v>
      </c>
      <c r="H397" s="14" t="s">
        <v>491</v>
      </c>
    </row>
    <row r="398" ht="18.0" customHeight="1">
      <c r="A398" s="14" t="s">
        <v>601</v>
      </c>
      <c r="B398" s="14" t="s">
        <v>578</v>
      </c>
      <c r="C398" s="16">
        <v>0.4375</v>
      </c>
      <c r="D398" s="16">
        <v>0.5208333333333334</v>
      </c>
      <c r="E398" s="14" t="s">
        <v>608</v>
      </c>
      <c r="F398" s="14" t="s">
        <v>66</v>
      </c>
      <c r="G398" s="19">
        <v>39.0</v>
      </c>
      <c r="H398" s="14" t="s">
        <v>393</v>
      </c>
    </row>
    <row r="399" ht="18.0" customHeight="1">
      <c r="A399" s="14" t="s">
        <v>601</v>
      </c>
      <c r="B399" s="14" t="s">
        <v>578</v>
      </c>
      <c r="C399" s="16">
        <v>0.4375</v>
      </c>
      <c r="D399" s="16">
        <v>0.5208333333333334</v>
      </c>
      <c r="E399" s="14" t="s">
        <v>609</v>
      </c>
      <c r="F399" s="14" t="s">
        <v>38</v>
      </c>
      <c r="G399" s="19">
        <v>40.0</v>
      </c>
      <c r="H399" s="14" t="s">
        <v>610</v>
      </c>
    </row>
    <row r="400" ht="18.0" customHeight="1">
      <c r="A400" s="14" t="s">
        <v>601</v>
      </c>
      <c r="B400" s="14" t="s">
        <v>578</v>
      </c>
      <c r="C400" s="16">
        <v>0.4375</v>
      </c>
      <c r="D400" s="16">
        <v>0.5208333333333334</v>
      </c>
      <c r="E400" s="14" t="s">
        <v>611</v>
      </c>
      <c r="F400" s="14" t="s">
        <v>38</v>
      </c>
      <c r="G400" s="19">
        <v>39.0</v>
      </c>
      <c r="H400" s="14" t="s">
        <v>610</v>
      </c>
    </row>
    <row r="401" ht="18.0" customHeight="1">
      <c r="A401" s="14" t="s">
        <v>601</v>
      </c>
      <c r="B401" s="14" t="s">
        <v>578</v>
      </c>
      <c r="C401" s="16">
        <v>0.4375</v>
      </c>
      <c r="D401" s="16">
        <v>0.5208333333333334</v>
      </c>
      <c r="E401" s="14" t="s">
        <v>612</v>
      </c>
      <c r="F401" s="14" t="s">
        <v>75</v>
      </c>
      <c r="G401" s="19">
        <v>40.0</v>
      </c>
      <c r="H401" s="14" t="s">
        <v>613</v>
      </c>
    </row>
    <row r="402" ht="18.0" customHeight="1">
      <c r="A402" s="14" t="s">
        <v>601</v>
      </c>
      <c r="B402" s="14" t="s">
        <v>578</v>
      </c>
      <c r="C402" s="16">
        <v>0.4375</v>
      </c>
      <c r="D402" s="16">
        <v>0.5208333333333334</v>
      </c>
      <c r="E402" s="14" t="s">
        <v>614</v>
      </c>
      <c r="F402" s="14" t="s">
        <v>75</v>
      </c>
      <c r="G402" s="19">
        <v>40.0</v>
      </c>
      <c r="H402" s="14" t="s">
        <v>615</v>
      </c>
    </row>
    <row r="403" ht="18.0" customHeight="1">
      <c r="A403" s="14" t="s">
        <v>601</v>
      </c>
      <c r="B403" s="14" t="s">
        <v>578</v>
      </c>
      <c r="C403" s="16">
        <v>0.4375</v>
      </c>
      <c r="D403" s="16">
        <v>0.5208333333333334</v>
      </c>
      <c r="E403" s="14" t="s">
        <v>616</v>
      </c>
      <c r="F403" s="14" t="s">
        <v>75</v>
      </c>
      <c r="G403" s="19">
        <v>39.0</v>
      </c>
      <c r="H403" s="14" t="s">
        <v>617</v>
      </c>
    </row>
    <row r="404" ht="18.0" customHeight="1">
      <c r="A404" s="14" t="s">
        <v>601</v>
      </c>
      <c r="B404" s="14" t="s">
        <v>578</v>
      </c>
      <c r="C404" s="16">
        <v>0.4375</v>
      </c>
      <c r="D404" s="16">
        <v>0.5208333333333334</v>
      </c>
      <c r="E404" s="14" t="s">
        <v>618</v>
      </c>
      <c r="F404" s="14" t="s">
        <v>75</v>
      </c>
      <c r="G404" s="19">
        <v>39.0</v>
      </c>
      <c r="H404" s="14" t="s">
        <v>617</v>
      </c>
    </row>
    <row r="405" ht="18.0" customHeight="1">
      <c r="A405" s="14" t="s">
        <v>601</v>
      </c>
      <c r="B405" s="14" t="s">
        <v>578</v>
      </c>
      <c r="C405" s="16">
        <v>0.4375</v>
      </c>
      <c r="D405" s="16">
        <v>0.5208333333333334</v>
      </c>
      <c r="E405" s="14" t="s">
        <v>619</v>
      </c>
      <c r="F405" s="14" t="s">
        <v>75</v>
      </c>
      <c r="G405" s="19">
        <v>40.0</v>
      </c>
      <c r="H405" s="14" t="s">
        <v>445</v>
      </c>
    </row>
    <row r="406" ht="18.0" customHeight="1">
      <c r="A406" s="14" t="s">
        <v>601</v>
      </c>
      <c r="B406" s="14" t="s">
        <v>578</v>
      </c>
      <c r="C406" s="16">
        <v>0.4375</v>
      </c>
      <c r="D406" s="16">
        <v>0.5208333333333334</v>
      </c>
      <c r="E406" s="14" t="s">
        <v>620</v>
      </c>
      <c r="F406" s="14" t="s">
        <v>75</v>
      </c>
      <c r="G406" s="19">
        <v>40.0</v>
      </c>
      <c r="H406" s="14" t="s">
        <v>191</v>
      </c>
    </row>
    <row r="407" ht="18.0" customHeight="1">
      <c r="A407" s="14" t="s">
        <v>601</v>
      </c>
      <c r="B407" s="14" t="s">
        <v>578</v>
      </c>
      <c r="C407" s="16">
        <v>0.4375</v>
      </c>
      <c r="D407" s="16">
        <v>0.5208333333333334</v>
      </c>
      <c r="E407" s="14" t="s">
        <v>621</v>
      </c>
      <c r="F407" s="14" t="s">
        <v>75</v>
      </c>
      <c r="G407" s="19">
        <v>40.0</v>
      </c>
      <c r="H407" s="14" t="s">
        <v>191</v>
      </c>
    </row>
    <row r="408" ht="18.0" customHeight="1">
      <c r="A408" s="24" t="s">
        <v>601</v>
      </c>
      <c r="B408" s="24" t="s">
        <v>578</v>
      </c>
      <c r="C408" s="25">
        <v>0.4375</v>
      </c>
      <c r="D408" s="25">
        <v>0.5208333333333334</v>
      </c>
      <c r="E408" s="24" t="s">
        <v>622</v>
      </c>
      <c r="F408" s="24" t="s">
        <v>261</v>
      </c>
      <c r="G408" s="27">
        <v>40.0</v>
      </c>
      <c r="H408" s="24" t="s">
        <v>623</v>
      </c>
    </row>
    <row r="409" ht="18.0" customHeight="1">
      <c r="A409" s="28" t="s">
        <v>601</v>
      </c>
      <c r="B409" s="29" t="s">
        <v>578</v>
      </c>
      <c r="C409" s="30">
        <v>0.4375</v>
      </c>
      <c r="D409" s="30">
        <v>0.5208333333333334</v>
      </c>
      <c r="E409" s="29" t="s">
        <v>624</v>
      </c>
      <c r="F409" s="29" t="s">
        <v>261</v>
      </c>
      <c r="G409" s="31">
        <v>40.0</v>
      </c>
      <c r="H409" s="33" t="s">
        <v>623</v>
      </c>
    </row>
    <row r="410" ht="18.0" customHeight="1">
      <c r="A410" s="8"/>
      <c r="B410" s="39"/>
      <c r="C410" s="10"/>
      <c r="D410" s="10"/>
      <c r="E410" s="11"/>
      <c r="F410" s="40"/>
      <c r="G410" s="13">
        <v>649.0</v>
      </c>
      <c r="H410" s="13"/>
    </row>
    <row r="411" ht="24.0" customHeight="1">
      <c r="A411" s="8"/>
      <c r="B411" s="9" t="s">
        <v>14</v>
      </c>
      <c r="C411" s="10"/>
      <c r="D411" s="10"/>
      <c r="E411" s="21"/>
      <c r="F411" s="23" t="s">
        <v>576</v>
      </c>
      <c r="G411" s="22"/>
      <c r="H411" s="21"/>
    </row>
    <row r="412" ht="18.0" customHeight="1">
      <c r="A412" s="14" t="s">
        <v>625</v>
      </c>
      <c r="B412" s="14" t="s">
        <v>578</v>
      </c>
      <c r="C412" s="16">
        <v>0.5625</v>
      </c>
      <c r="D412" s="16">
        <v>0.6458333333333334</v>
      </c>
      <c r="E412" s="14" t="s">
        <v>626</v>
      </c>
      <c r="F412" s="14" t="s">
        <v>353</v>
      </c>
      <c r="G412" s="19">
        <v>36.0</v>
      </c>
      <c r="H412" s="14" t="s">
        <v>587</v>
      </c>
    </row>
    <row r="413" ht="18.0" customHeight="1">
      <c r="A413" s="14" t="s">
        <v>625</v>
      </c>
      <c r="B413" s="14" t="s">
        <v>578</v>
      </c>
      <c r="C413" s="16">
        <v>0.5625</v>
      </c>
      <c r="D413" s="16">
        <v>0.6458333333333334</v>
      </c>
      <c r="E413" s="14" t="s">
        <v>627</v>
      </c>
      <c r="F413" s="14" t="s">
        <v>353</v>
      </c>
      <c r="G413" s="19">
        <v>37.0</v>
      </c>
      <c r="H413" s="14" t="s">
        <v>587</v>
      </c>
    </row>
    <row r="414" ht="18.0" customHeight="1">
      <c r="A414" s="14" t="s">
        <v>625</v>
      </c>
      <c r="B414" s="14" t="s">
        <v>578</v>
      </c>
      <c r="C414" s="16">
        <v>0.5625</v>
      </c>
      <c r="D414" s="16">
        <v>0.6458333333333334</v>
      </c>
      <c r="E414" s="14" t="s">
        <v>629</v>
      </c>
      <c r="F414" s="14" t="s">
        <v>162</v>
      </c>
      <c r="G414" s="19">
        <v>29.0</v>
      </c>
      <c r="H414" s="14" t="s">
        <v>361</v>
      </c>
    </row>
    <row r="415" ht="18.0" customHeight="1">
      <c r="A415" s="14" t="s">
        <v>625</v>
      </c>
      <c r="B415" s="14" t="s">
        <v>578</v>
      </c>
      <c r="C415" s="16">
        <v>0.5625</v>
      </c>
      <c r="D415" s="16">
        <v>0.6458333333333334</v>
      </c>
      <c r="E415" s="14" t="s">
        <v>630</v>
      </c>
      <c r="F415" s="14" t="s">
        <v>162</v>
      </c>
      <c r="G415" s="19">
        <v>38.0</v>
      </c>
      <c r="H415" s="14" t="s">
        <v>381</v>
      </c>
    </row>
    <row r="416" ht="18.0" customHeight="1">
      <c r="A416" s="14" t="s">
        <v>625</v>
      </c>
      <c r="B416" s="14" t="s">
        <v>578</v>
      </c>
      <c r="C416" s="16">
        <v>0.5625</v>
      </c>
      <c r="D416" s="16">
        <v>0.6458333333333334</v>
      </c>
      <c r="E416" s="14" t="s">
        <v>631</v>
      </c>
      <c r="F416" s="14" t="s">
        <v>162</v>
      </c>
      <c r="G416" s="19">
        <v>38.0</v>
      </c>
      <c r="H416" s="14" t="s">
        <v>381</v>
      </c>
    </row>
    <row r="417" ht="18.0" customHeight="1">
      <c r="A417" s="14" t="s">
        <v>625</v>
      </c>
      <c r="B417" s="14" t="s">
        <v>578</v>
      </c>
      <c r="C417" s="16">
        <v>0.5625</v>
      </c>
      <c r="D417" s="16">
        <v>0.6458333333333334</v>
      </c>
      <c r="E417" s="14" t="s">
        <v>632</v>
      </c>
      <c r="F417" s="14" t="s">
        <v>162</v>
      </c>
      <c r="G417" s="19">
        <v>21.0</v>
      </c>
      <c r="H417" s="14" t="s">
        <v>381</v>
      </c>
    </row>
    <row r="418" ht="18.0" customHeight="1">
      <c r="A418" s="14" t="s">
        <v>625</v>
      </c>
      <c r="B418" s="14" t="s">
        <v>578</v>
      </c>
      <c r="C418" s="16">
        <v>0.5625</v>
      </c>
      <c r="D418" s="16">
        <v>0.6458333333333334</v>
      </c>
      <c r="E418" s="14" t="s">
        <v>633</v>
      </c>
      <c r="F418" s="14" t="s">
        <v>162</v>
      </c>
      <c r="G418" s="19">
        <v>38.0</v>
      </c>
      <c r="H418" s="14" t="s">
        <v>295</v>
      </c>
    </row>
    <row r="419" ht="18.0" customHeight="1">
      <c r="A419" s="14" t="s">
        <v>625</v>
      </c>
      <c r="B419" s="14" t="s">
        <v>578</v>
      </c>
      <c r="C419" s="16">
        <v>0.5625</v>
      </c>
      <c r="D419" s="16">
        <v>0.6458333333333334</v>
      </c>
      <c r="E419" s="14" t="s">
        <v>634</v>
      </c>
      <c r="F419" s="14" t="s">
        <v>162</v>
      </c>
      <c r="G419" s="19">
        <v>38.0</v>
      </c>
      <c r="H419" s="14" t="s">
        <v>295</v>
      </c>
    </row>
    <row r="420" ht="18.0" customHeight="1">
      <c r="A420" s="14" t="s">
        <v>625</v>
      </c>
      <c r="B420" s="14" t="s">
        <v>578</v>
      </c>
      <c r="C420" s="16">
        <v>0.5625</v>
      </c>
      <c r="D420" s="16">
        <v>0.6458333333333334</v>
      </c>
      <c r="E420" s="14" t="s">
        <v>635</v>
      </c>
      <c r="F420" s="14" t="s">
        <v>162</v>
      </c>
      <c r="G420" s="19">
        <v>38.0</v>
      </c>
      <c r="H420" s="14" t="s">
        <v>361</v>
      </c>
    </row>
    <row r="421" ht="18.0" customHeight="1">
      <c r="A421" s="14" t="s">
        <v>625</v>
      </c>
      <c r="B421" s="14" t="s">
        <v>578</v>
      </c>
      <c r="C421" s="16">
        <v>0.5625</v>
      </c>
      <c r="D421" s="16">
        <v>0.6458333333333334</v>
      </c>
      <c r="E421" s="14" t="s">
        <v>636</v>
      </c>
      <c r="F421" s="14" t="s">
        <v>456</v>
      </c>
      <c r="G421" s="19">
        <v>38.0</v>
      </c>
      <c r="H421" s="14" t="s">
        <v>371</v>
      </c>
    </row>
    <row r="422" ht="18.0" customHeight="1">
      <c r="A422" s="14" t="s">
        <v>625</v>
      </c>
      <c r="B422" s="14" t="s">
        <v>578</v>
      </c>
      <c r="C422" s="16">
        <v>0.5625</v>
      </c>
      <c r="D422" s="16">
        <v>0.6458333333333334</v>
      </c>
      <c r="E422" s="14" t="s">
        <v>637</v>
      </c>
      <c r="F422" s="14" t="s">
        <v>29</v>
      </c>
      <c r="G422" s="19">
        <v>40.0</v>
      </c>
      <c r="H422" s="14" t="s">
        <v>532</v>
      </c>
    </row>
    <row r="423" ht="18.0" customHeight="1">
      <c r="A423" s="14" t="s">
        <v>625</v>
      </c>
      <c r="B423" s="14" t="s">
        <v>578</v>
      </c>
      <c r="C423" s="16">
        <v>0.5625</v>
      </c>
      <c r="D423" s="16">
        <v>0.6458333333333334</v>
      </c>
      <c r="E423" s="14" t="s">
        <v>638</v>
      </c>
      <c r="F423" s="14" t="s">
        <v>167</v>
      </c>
      <c r="G423" s="19">
        <v>40.0</v>
      </c>
      <c r="H423" s="14" t="s">
        <v>409</v>
      </c>
    </row>
    <row r="424" ht="18.0" customHeight="1">
      <c r="A424" s="14" t="s">
        <v>625</v>
      </c>
      <c r="B424" s="14" t="s">
        <v>578</v>
      </c>
      <c r="C424" s="16">
        <v>0.5625</v>
      </c>
      <c r="D424" s="16">
        <v>0.6458333333333334</v>
      </c>
      <c r="E424" s="14" t="s">
        <v>639</v>
      </c>
      <c r="F424" s="14" t="s">
        <v>167</v>
      </c>
      <c r="G424" s="19">
        <v>30.0</v>
      </c>
      <c r="H424" s="14" t="s">
        <v>640</v>
      </c>
    </row>
    <row r="425" ht="18.0" customHeight="1">
      <c r="A425" s="14" t="s">
        <v>625</v>
      </c>
      <c r="B425" s="14" t="s">
        <v>578</v>
      </c>
      <c r="C425" s="16">
        <v>0.5625</v>
      </c>
      <c r="D425" s="16">
        <v>0.6458333333333334</v>
      </c>
      <c r="E425" s="14" t="s">
        <v>641</v>
      </c>
      <c r="F425" s="14" t="s">
        <v>167</v>
      </c>
      <c r="G425" s="19">
        <v>40.0</v>
      </c>
      <c r="H425" s="14" t="s">
        <v>640</v>
      </c>
    </row>
    <row r="426" ht="18.0" customHeight="1">
      <c r="A426" s="14" t="s">
        <v>625</v>
      </c>
      <c r="B426" s="14" t="s">
        <v>578</v>
      </c>
      <c r="C426" s="16">
        <v>0.5625</v>
      </c>
      <c r="D426" s="16">
        <v>0.6458333333333334</v>
      </c>
      <c r="E426" s="14" t="s">
        <v>642</v>
      </c>
      <c r="F426" s="14" t="s">
        <v>167</v>
      </c>
      <c r="G426" s="19">
        <v>40.0</v>
      </c>
      <c r="H426" s="14" t="s">
        <v>83</v>
      </c>
    </row>
    <row r="427" ht="18.0" customHeight="1">
      <c r="A427" s="14" t="s">
        <v>625</v>
      </c>
      <c r="B427" s="14" t="s">
        <v>578</v>
      </c>
      <c r="C427" s="16">
        <v>0.5625</v>
      </c>
      <c r="D427" s="16">
        <v>0.6458333333333334</v>
      </c>
      <c r="E427" s="14" t="s">
        <v>643</v>
      </c>
      <c r="F427" s="14" t="s">
        <v>346</v>
      </c>
      <c r="G427" s="19">
        <v>38.0</v>
      </c>
      <c r="H427" s="14" t="s">
        <v>644</v>
      </c>
    </row>
    <row r="428" ht="18.0" customHeight="1">
      <c r="A428" s="14" t="s">
        <v>625</v>
      </c>
      <c r="B428" s="14" t="s">
        <v>578</v>
      </c>
      <c r="C428" s="16">
        <v>0.5625</v>
      </c>
      <c r="D428" s="16">
        <v>0.6458333333333334</v>
      </c>
      <c r="E428" s="14" t="s">
        <v>645</v>
      </c>
      <c r="F428" s="14" t="s">
        <v>571</v>
      </c>
      <c r="G428" s="19">
        <v>40.0</v>
      </c>
      <c r="H428" s="14" t="s">
        <v>646</v>
      </c>
    </row>
    <row r="429" ht="18.0" customHeight="1">
      <c r="A429" s="14" t="s">
        <v>625</v>
      </c>
      <c r="B429" s="14" t="s">
        <v>578</v>
      </c>
      <c r="C429" s="16">
        <v>0.5625</v>
      </c>
      <c r="D429" s="16">
        <v>0.6458333333333334</v>
      </c>
      <c r="E429" s="14" t="s">
        <v>647</v>
      </c>
      <c r="F429" s="14" t="s">
        <v>571</v>
      </c>
      <c r="G429" s="19">
        <v>40.0</v>
      </c>
      <c r="H429" s="14" t="s">
        <v>646</v>
      </c>
    </row>
    <row r="430" ht="18.0" customHeight="1">
      <c r="A430" s="14" t="s">
        <v>625</v>
      </c>
      <c r="B430" s="14" t="s">
        <v>578</v>
      </c>
      <c r="C430" s="16">
        <v>0.5625</v>
      </c>
      <c r="D430" s="16">
        <v>0.6458333333333334</v>
      </c>
      <c r="E430" s="14" t="s">
        <v>648</v>
      </c>
      <c r="F430" s="14" t="s">
        <v>23</v>
      </c>
      <c r="G430" s="19">
        <v>26.0</v>
      </c>
      <c r="H430" s="14" t="s">
        <v>24</v>
      </c>
    </row>
    <row r="431" ht="18.0" customHeight="1">
      <c r="A431" s="14" t="s">
        <v>625</v>
      </c>
      <c r="B431" s="14" t="s">
        <v>578</v>
      </c>
      <c r="C431" s="16">
        <v>0.5625</v>
      </c>
      <c r="D431" s="16">
        <v>0.6458333333333334</v>
      </c>
      <c r="E431" s="14" t="s">
        <v>649</v>
      </c>
      <c r="F431" s="14" t="s">
        <v>29</v>
      </c>
      <c r="G431" s="19">
        <v>40.0</v>
      </c>
      <c r="H431" s="14" t="s">
        <v>30</v>
      </c>
    </row>
    <row r="432" ht="18.0" customHeight="1">
      <c r="A432" s="24" t="s">
        <v>625</v>
      </c>
      <c r="B432" s="24" t="s">
        <v>578</v>
      </c>
      <c r="C432" s="25">
        <v>0.5625</v>
      </c>
      <c r="D432" s="16">
        <v>0.6458333333333334</v>
      </c>
      <c r="E432" s="24" t="s">
        <v>650</v>
      </c>
      <c r="F432" s="24" t="s">
        <v>66</v>
      </c>
      <c r="G432" s="27">
        <v>43.0</v>
      </c>
      <c r="H432" s="24" t="s">
        <v>27</v>
      </c>
    </row>
    <row r="433" ht="18.0" customHeight="1">
      <c r="A433" s="28" t="s">
        <v>625</v>
      </c>
      <c r="B433" s="29" t="s">
        <v>578</v>
      </c>
      <c r="C433" s="30">
        <v>0.5625</v>
      </c>
      <c r="D433" s="30">
        <v>0.6458333333333334</v>
      </c>
      <c r="E433" s="29" t="s">
        <v>651</v>
      </c>
      <c r="F433" s="29" t="s">
        <v>32</v>
      </c>
      <c r="G433" s="31">
        <v>41.0</v>
      </c>
      <c r="H433" s="33" t="s">
        <v>33</v>
      </c>
    </row>
    <row r="434" ht="18.0" customHeight="1">
      <c r="A434" s="8"/>
      <c r="B434" s="39"/>
      <c r="C434" s="10"/>
      <c r="D434" s="10"/>
      <c r="E434" s="11"/>
      <c r="F434" s="40"/>
      <c r="G434" s="13">
        <v>809.0</v>
      </c>
      <c r="H434" s="13"/>
    </row>
    <row r="435" ht="24.0" customHeight="1">
      <c r="A435" s="8"/>
      <c r="B435" s="9" t="s">
        <v>14</v>
      </c>
      <c r="C435" s="10"/>
      <c r="D435" s="10"/>
      <c r="E435" s="21"/>
      <c r="F435" s="23" t="s">
        <v>652</v>
      </c>
      <c r="G435" s="22"/>
      <c r="H435" s="21"/>
    </row>
    <row r="436" ht="18.0" customHeight="1">
      <c r="A436" s="14" t="s">
        <v>653</v>
      </c>
      <c r="B436" s="14" t="s">
        <v>578</v>
      </c>
      <c r="C436" s="16">
        <v>0.6666666666666666</v>
      </c>
      <c r="D436" s="16">
        <v>0.75</v>
      </c>
      <c r="E436" s="14" t="s">
        <v>654</v>
      </c>
      <c r="F436" s="14" t="s">
        <v>42</v>
      </c>
      <c r="G436" s="19">
        <v>31.0</v>
      </c>
      <c r="H436" s="14" t="s">
        <v>603</v>
      </c>
    </row>
    <row r="437" ht="18.0" customHeight="1">
      <c r="A437" s="14" t="s">
        <v>653</v>
      </c>
      <c r="B437" s="14" t="s">
        <v>578</v>
      </c>
      <c r="C437" s="16">
        <v>0.6666666666666666</v>
      </c>
      <c r="D437" s="16">
        <v>0.75</v>
      </c>
      <c r="E437" s="14" t="s">
        <v>655</v>
      </c>
      <c r="F437" s="14" t="s">
        <v>456</v>
      </c>
      <c r="G437" s="19">
        <v>34.0</v>
      </c>
      <c r="H437" s="14" t="s">
        <v>656</v>
      </c>
    </row>
    <row r="438" ht="18.0" customHeight="1">
      <c r="A438" s="14" t="s">
        <v>653</v>
      </c>
      <c r="B438" s="14" t="s">
        <v>578</v>
      </c>
      <c r="C438" s="16">
        <v>0.6666666666666666</v>
      </c>
      <c r="D438" s="16">
        <v>0.75</v>
      </c>
      <c r="E438" s="14" t="s">
        <v>657</v>
      </c>
      <c r="F438" s="14" t="s">
        <v>26</v>
      </c>
      <c r="G438" s="19">
        <v>37.0</v>
      </c>
      <c r="H438" s="14" t="s">
        <v>658</v>
      </c>
    </row>
    <row r="439" ht="18.0" customHeight="1">
      <c r="A439" s="14" t="s">
        <v>653</v>
      </c>
      <c r="B439" s="14" t="s">
        <v>578</v>
      </c>
      <c r="C439" s="16">
        <v>0.6666666666666666</v>
      </c>
      <c r="D439" s="16">
        <v>0.75</v>
      </c>
      <c r="E439" s="14" t="s">
        <v>659</v>
      </c>
      <c r="F439" s="14" t="s">
        <v>53</v>
      </c>
      <c r="G439" s="19">
        <v>37.0</v>
      </c>
      <c r="H439" s="14" t="s">
        <v>568</v>
      </c>
    </row>
    <row r="440" ht="18.0" customHeight="1">
      <c r="A440" s="14" t="s">
        <v>653</v>
      </c>
      <c r="B440" s="14" t="s">
        <v>578</v>
      </c>
      <c r="C440" s="16">
        <v>0.6666666666666666</v>
      </c>
      <c r="D440" s="16">
        <v>0.75</v>
      </c>
      <c r="E440" s="14" t="s">
        <v>660</v>
      </c>
      <c r="F440" s="14" t="s">
        <v>29</v>
      </c>
      <c r="G440" s="19">
        <v>45.0</v>
      </c>
      <c r="H440" s="14" t="s">
        <v>661</v>
      </c>
    </row>
    <row r="441" ht="18.0" customHeight="1">
      <c r="A441" s="24" t="s">
        <v>653</v>
      </c>
      <c r="B441" s="24" t="s">
        <v>578</v>
      </c>
      <c r="C441" s="16">
        <v>0.6666666666666666</v>
      </c>
      <c r="D441" s="16">
        <v>0.75</v>
      </c>
      <c r="E441" s="24" t="s">
        <v>662</v>
      </c>
      <c r="F441" s="24" t="s">
        <v>56</v>
      </c>
      <c r="G441" s="27">
        <v>34.0</v>
      </c>
      <c r="H441" s="24" t="s">
        <v>85</v>
      </c>
    </row>
    <row r="442" ht="18.0" customHeight="1">
      <c r="A442" s="28" t="s">
        <v>653</v>
      </c>
      <c r="B442" s="29" t="s">
        <v>578</v>
      </c>
      <c r="C442" s="30">
        <v>0.6666666666666666</v>
      </c>
      <c r="D442" s="30">
        <v>0.75</v>
      </c>
      <c r="E442" s="29" t="s">
        <v>663</v>
      </c>
      <c r="F442" s="29" t="s">
        <v>167</v>
      </c>
      <c r="G442" s="31">
        <v>26.0</v>
      </c>
      <c r="H442" s="33" t="s">
        <v>664</v>
      </c>
    </row>
    <row r="443" ht="18.0" customHeight="1">
      <c r="A443" s="17" t="s">
        <v>653</v>
      </c>
      <c r="B443" s="34" t="s">
        <v>578</v>
      </c>
      <c r="C443" s="35">
        <v>0.6666666666666666</v>
      </c>
      <c r="D443" s="35">
        <v>0.75</v>
      </c>
      <c r="E443" s="36" t="s">
        <v>665</v>
      </c>
      <c r="F443" s="37" t="s">
        <v>69</v>
      </c>
      <c r="G443" s="29">
        <v>43.0</v>
      </c>
      <c r="H443" s="29" t="s">
        <v>70</v>
      </c>
    </row>
    <row r="444" ht="18.0" customHeight="1">
      <c r="A444" s="14" t="s">
        <v>653</v>
      </c>
      <c r="B444" s="14" t="s">
        <v>578</v>
      </c>
      <c r="C444" s="16">
        <v>0.6666666666666666</v>
      </c>
      <c r="D444" s="16">
        <v>0.75</v>
      </c>
      <c r="E444" s="14" t="s">
        <v>666</v>
      </c>
      <c r="F444" s="17" t="s">
        <v>106</v>
      </c>
      <c r="G444" s="18">
        <v>20.0</v>
      </c>
      <c r="H444" s="17" t="s">
        <v>667</v>
      </c>
    </row>
    <row r="445" ht="18.0" customHeight="1">
      <c r="A445" s="14" t="s">
        <v>653</v>
      </c>
      <c r="B445" s="14" t="s">
        <v>578</v>
      </c>
      <c r="C445" s="16">
        <v>0.6666666666666666</v>
      </c>
      <c r="D445" s="16">
        <v>0.75</v>
      </c>
      <c r="E445" s="14" t="s">
        <v>668</v>
      </c>
      <c r="F445" s="14" t="s">
        <v>126</v>
      </c>
      <c r="G445" s="19">
        <v>22.0</v>
      </c>
      <c r="H445" s="14" t="s">
        <v>669</v>
      </c>
    </row>
    <row r="446" ht="18.0" customHeight="1">
      <c r="A446" s="14" t="s">
        <v>653</v>
      </c>
      <c r="B446" s="14" t="s">
        <v>578</v>
      </c>
      <c r="C446" s="16">
        <v>0.6666666666666666</v>
      </c>
      <c r="D446" s="16">
        <v>0.75</v>
      </c>
      <c r="E446" s="14" t="s">
        <v>670</v>
      </c>
      <c r="F446" s="14" t="s">
        <v>130</v>
      </c>
      <c r="G446" s="19">
        <v>21.0</v>
      </c>
      <c r="H446" s="14" t="s">
        <v>575</v>
      </c>
    </row>
    <row r="447" ht="18.0" customHeight="1">
      <c r="A447" s="8"/>
      <c r="B447" s="21"/>
      <c r="C447" s="10"/>
      <c r="D447" s="10"/>
      <c r="E447" s="21"/>
      <c r="F447" s="21"/>
      <c r="G447" s="22">
        <v>350.0</v>
      </c>
      <c r="H447" s="21"/>
    </row>
    <row r="448" ht="24.0" customHeight="1">
      <c r="A448" s="8"/>
      <c r="B448" s="9" t="s">
        <v>14</v>
      </c>
      <c r="C448" s="10"/>
      <c r="D448" s="10"/>
      <c r="E448" s="21"/>
      <c r="F448" s="23" t="s">
        <v>671</v>
      </c>
      <c r="G448" s="22"/>
      <c r="H448" s="21"/>
    </row>
    <row r="449" ht="18.0" customHeight="1">
      <c r="A449" s="14" t="s">
        <v>672</v>
      </c>
      <c r="B449" s="14" t="s">
        <v>578</v>
      </c>
      <c r="C449" s="16">
        <v>0.7708333333333334</v>
      </c>
      <c r="D449" s="16">
        <v>0.8541666666666666</v>
      </c>
      <c r="E449" s="14" t="s">
        <v>673</v>
      </c>
      <c r="F449" s="14" t="s">
        <v>42</v>
      </c>
      <c r="G449" s="19">
        <v>40.0</v>
      </c>
      <c r="H449" s="14" t="s">
        <v>603</v>
      </c>
    </row>
    <row r="450" ht="18.0" customHeight="1">
      <c r="A450" s="14" t="s">
        <v>672</v>
      </c>
      <c r="B450" s="14" t="s">
        <v>578</v>
      </c>
      <c r="C450" s="16">
        <v>0.7708333333333334</v>
      </c>
      <c r="D450" s="16">
        <v>0.8541666666666666</v>
      </c>
      <c r="E450" s="14" t="s">
        <v>674</v>
      </c>
      <c r="F450" s="14" t="s">
        <v>47</v>
      </c>
      <c r="G450" s="19">
        <v>45.0</v>
      </c>
      <c r="H450" s="14" t="s">
        <v>226</v>
      </c>
    </row>
    <row r="451" ht="18.0" customHeight="1">
      <c r="A451" s="14" t="s">
        <v>672</v>
      </c>
      <c r="B451" s="14" t="s">
        <v>578</v>
      </c>
      <c r="C451" s="16">
        <v>0.7708333333333334</v>
      </c>
      <c r="D451" s="16">
        <v>0.8541666666666666</v>
      </c>
      <c r="E451" s="14" t="s">
        <v>675</v>
      </c>
      <c r="F451" s="14" t="s">
        <v>26</v>
      </c>
      <c r="G451" s="19">
        <v>43.0</v>
      </c>
      <c r="H451" s="14" t="s">
        <v>658</v>
      </c>
    </row>
    <row r="452" ht="18.0" customHeight="1">
      <c r="A452" s="14" t="s">
        <v>672</v>
      </c>
      <c r="B452" s="14" t="s">
        <v>578</v>
      </c>
      <c r="C452" s="16">
        <v>0.7708333333333334</v>
      </c>
      <c r="D452" s="16">
        <v>0.8541666666666666</v>
      </c>
      <c r="E452" s="14" t="s">
        <v>676</v>
      </c>
      <c r="F452" s="14" t="s">
        <v>29</v>
      </c>
      <c r="G452" s="19">
        <v>45.0</v>
      </c>
      <c r="H452" s="14" t="s">
        <v>661</v>
      </c>
    </row>
    <row r="453" ht="18.0" customHeight="1">
      <c r="A453" s="14" t="s">
        <v>672</v>
      </c>
      <c r="B453" s="14" t="s">
        <v>578</v>
      </c>
      <c r="C453" s="16">
        <v>0.7708333333333334</v>
      </c>
      <c r="D453" s="16">
        <v>0.8541666666666666</v>
      </c>
      <c r="E453" s="14" t="s">
        <v>677</v>
      </c>
      <c r="F453" s="14" t="s">
        <v>167</v>
      </c>
      <c r="G453" s="19">
        <v>43.0</v>
      </c>
      <c r="H453" s="14" t="s">
        <v>664</v>
      </c>
    </row>
    <row r="454" ht="18.0" customHeight="1">
      <c r="A454" s="14" t="s">
        <v>672</v>
      </c>
      <c r="B454" s="14" t="s">
        <v>578</v>
      </c>
      <c r="C454" s="16">
        <v>0.7708333333333334</v>
      </c>
      <c r="D454" s="16">
        <v>0.8541666666666666</v>
      </c>
      <c r="E454" s="14" t="s">
        <v>678</v>
      </c>
      <c r="F454" s="14" t="s">
        <v>126</v>
      </c>
      <c r="G454" s="19">
        <v>43.0</v>
      </c>
      <c r="H454" s="14" t="s">
        <v>669</v>
      </c>
    </row>
    <row r="455" ht="18.0" customHeight="1">
      <c r="A455" s="8"/>
      <c r="B455" s="21"/>
      <c r="C455" s="10"/>
      <c r="D455" s="10"/>
      <c r="E455" s="21"/>
      <c r="F455" s="21"/>
      <c r="G455" s="22">
        <v>259.0</v>
      </c>
      <c r="H455" s="21"/>
    </row>
    <row r="456" ht="24.0" customHeight="1">
      <c r="A456" s="8"/>
      <c r="B456" s="9" t="s">
        <v>88</v>
      </c>
      <c r="C456" s="10"/>
      <c r="D456" s="10"/>
      <c r="E456" s="21"/>
      <c r="F456" s="23" t="s">
        <v>576</v>
      </c>
      <c r="G456" s="22"/>
      <c r="H456" s="21"/>
    </row>
    <row r="457" ht="18.0" customHeight="1">
      <c r="A457" s="14" t="s">
        <v>679</v>
      </c>
      <c r="B457" s="14" t="s">
        <v>680</v>
      </c>
      <c r="C457" s="16">
        <v>0.375</v>
      </c>
      <c r="D457" s="16">
        <v>0.4583333333333333</v>
      </c>
      <c r="E457" s="14" t="s">
        <v>681</v>
      </c>
      <c r="F457" s="14" t="s">
        <v>42</v>
      </c>
      <c r="G457" s="19">
        <v>34.0</v>
      </c>
      <c r="H457" s="14" t="s">
        <v>426</v>
      </c>
    </row>
    <row r="458" ht="18.0" customHeight="1">
      <c r="A458" s="24" t="s">
        <v>679</v>
      </c>
      <c r="B458" s="24" t="s">
        <v>680</v>
      </c>
      <c r="C458" s="16">
        <v>0.375</v>
      </c>
      <c r="D458" s="16">
        <v>0.4583333333333333</v>
      </c>
      <c r="E458" s="24" t="s">
        <v>682</v>
      </c>
      <c r="F458" s="24" t="s">
        <v>42</v>
      </c>
      <c r="G458" s="27">
        <v>35.0</v>
      </c>
      <c r="H458" s="24" t="s">
        <v>683</v>
      </c>
    </row>
    <row r="459" ht="18.0" customHeight="1">
      <c r="A459" s="28" t="s">
        <v>679</v>
      </c>
      <c r="B459" s="29" t="s">
        <v>680</v>
      </c>
      <c r="C459" s="30">
        <v>0.375</v>
      </c>
      <c r="D459" s="30">
        <v>0.4583333333333333</v>
      </c>
      <c r="E459" s="29" t="s">
        <v>684</v>
      </c>
      <c r="F459" s="29" t="s">
        <v>42</v>
      </c>
      <c r="G459" s="31">
        <v>34.0</v>
      </c>
      <c r="H459" s="33" t="s">
        <v>683</v>
      </c>
    </row>
    <row r="460" ht="18.0" customHeight="1">
      <c r="A460" s="17" t="s">
        <v>679</v>
      </c>
      <c r="B460" s="34" t="s">
        <v>680</v>
      </c>
      <c r="C460" s="35">
        <v>0.375</v>
      </c>
      <c r="D460" s="35">
        <v>0.4583333333333333</v>
      </c>
      <c r="E460" s="36" t="s">
        <v>685</v>
      </c>
      <c r="F460" s="37" t="s">
        <v>42</v>
      </c>
      <c r="G460" s="29">
        <v>36.0</v>
      </c>
      <c r="H460" s="29" t="s">
        <v>686</v>
      </c>
    </row>
    <row r="461" ht="18.0" customHeight="1">
      <c r="A461" s="14" t="s">
        <v>679</v>
      </c>
      <c r="B461" s="14" t="s">
        <v>680</v>
      </c>
      <c r="C461" s="16">
        <v>0.375</v>
      </c>
      <c r="D461" s="16">
        <v>0.4583333333333333</v>
      </c>
      <c r="E461" s="14" t="s">
        <v>687</v>
      </c>
      <c r="F461" s="17" t="s">
        <v>42</v>
      </c>
      <c r="G461" s="18">
        <v>34.0</v>
      </c>
      <c r="H461" s="17" t="s">
        <v>686</v>
      </c>
    </row>
    <row r="462" ht="18.0" customHeight="1">
      <c r="A462" s="14" t="s">
        <v>679</v>
      </c>
      <c r="B462" s="14" t="s">
        <v>680</v>
      </c>
      <c r="C462" s="16">
        <v>0.375</v>
      </c>
      <c r="D462" s="16">
        <v>0.4583333333333333</v>
      </c>
      <c r="E462" s="14" t="s">
        <v>688</v>
      </c>
      <c r="F462" s="14" t="s">
        <v>42</v>
      </c>
      <c r="G462" s="19">
        <v>36.0</v>
      </c>
      <c r="H462" s="14" t="s">
        <v>537</v>
      </c>
    </row>
    <row r="463" ht="18.0" customHeight="1">
      <c r="A463" s="14" t="s">
        <v>679</v>
      </c>
      <c r="B463" s="14" t="s">
        <v>680</v>
      </c>
      <c r="C463" s="16">
        <v>0.375</v>
      </c>
      <c r="D463" s="16">
        <v>0.4583333333333333</v>
      </c>
      <c r="E463" s="14" t="s">
        <v>689</v>
      </c>
      <c r="F463" s="14" t="s">
        <v>42</v>
      </c>
      <c r="G463" s="19">
        <v>3.0</v>
      </c>
      <c r="H463" s="14" t="s">
        <v>426</v>
      </c>
    </row>
    <row r="464" ht="18.0" customHeight="1">
      <c r="A464" s="14" t="s">
        <v>679</v>
      </c>
      <c r="B464" s="14" t="s">
        <v>680</v>
      </c>
      <c r="C464" s="16">
        <v>0.375</v>
      </c>
      <c r="D464" s="16">
        <v>0.4583333333333333</v>
      </c>
      <c r="E464" s="14" t="s">
        <v>690</v>
      </c>
      <c r="F464" s="14" t="s">
        <v>691</v>
      </c>
      <c r="G464" s="19">
        <v>2.0</v>
      </c>
      <c r="H464" s="14" t="s">
        <v>692</v>
      </c>
    </row>
    <row r="465" ht="18.0" customHeight="1">
      <c r="A465" s="24" t="s">
        <v>679</v>
      </c>
      <c r="B465" s="24" t="s">
        <v>680</v>
      </c>
      <c r="C465" s="16">
        <v>0.375</v>
      </c>
      <c r="D465" s="16">
        <v>0.4583333333333333</v>
      </c>
      <c r="E465" s="24" t="s">
        <v>693</v>
      </c>
      <c r="F465" s="24" t="s">
        <v>691</v>
      </c>
      <c r="G465" s="27">
        <v>39.0</v>
      </c>
      <c r="H465" s="24" t="s">
        <v>692</v>
      </c>
    </row>
    <row r="466" ht="18.0" customHeight="1">
      <c r="A466" s="28" t="s">
        <v>679</v>
      </c>
      <c r="B466" s="29" t="s">
        <v>680</v>
      </c>
      <c r="C466" s="30">
        <v>0.375</v>
      </c>
      <c r="D466" s="30">
        <v>0.4583333333333333</v>
      </c>
      <c r="E466" s="29" t="s">
        <v>694</v>
      </c>
      <c r="F466" s="29" t="s">
        <v>691</v>
      </c>
      <c r="G466" s="31">
        <v>41.0</v>
      </c>
      <c r="H466" s="33" t="s">
        <v>692</v>
      </c>
    </row>
    <row r="467" ht="18.0" customHeight="1">
      <c r="A467" s="17" t="s">
        <v>679</v>
      </c>
      <c r="B467" s="34" t="s">
        <v>680</v>
      </c>
      <c r="C467" s="35">
        <v>0.375</v>
      </c>
      <c r="D467" s="35">
        <v>0.4583333333333333</v>
      </c>
      <c r="E467" s="36" t="s">
        <v>695</v>
      </c>
      <c r="F467" s="37" t="s">
        <v>342</v>
      </c>
      <c r="G467" s="29">
        <v>39.0</v>
      </c>
      <c r="H467" s="29" t="s">
        <v>696</v>
      </c>
    </row>
    <row r="468" ht="18.0" customHeight="1">
      <c r="A468" s="14" t="s">
        <v>679</v>
      </c>
      <c r="B468" s="14" t="s">
        <v>680</v>
      </c>
      <c r="C468" s="16">
        <v>0.375</v>
      </c>
      <c r="D468" s="16">
        <v>0.4583333333333333</v>
      </c>
      <c r="E468" s="14" t="s">
        <v>697</v>
      </c>
      <c r="F468" s="17" t="s">
        <v>342</v>
      </c>
      <c r="G468" s="18">
        <v>36.0</v>
      </c>
      <c r="H468" s="17" t="s">
        <v>522</v>
      </c>
    </row>
    <row r="469" ht="18.0" customHeight="1">
      <c r="A469" s="14" t="s">
        <v>679</v>
      </c>
      <c r="B469" s="14" t="s">
        <v>680</v>
      </c>
      <c r="C469" s="16">
        <v>0.375</v>
      </c>
      <c r="D469" s="16">
        <v>0.4583333333333333</v>
      </c>
      <c r="E469" s="14" t="s">
        <v>698</v>
      </c>
      <c r="F469" s="14" t="s">
        <v>342</v>
      </c>
      <c r="G469" s="19">
        <v>38.0</v>
      </c>
      <c r="H469" s="14" t="s">
        <v>699</v>
      </c>
    </row>
    <row r="470" ht="18.0" customHeight="1">
      <c r="A470" s="14" t="s">
        <v>679</v>
      </c>
      <c r="B470" s="14" t="s">
        <v>680</v>
      </c>
      <c r="C470" s="16">
        <v>0.375</v>
      </c>
      <c r="D470" s="16">
        <v>0.4583333333333333</v>
      </c>
      <c r="E470" s="14" t="s">
        <v>700</v>
      </c>
      <c r="F470" s="14" t="s">
        <v>342</v>
      </c>
      <c r="G470" s="19">
        <v>38.0</v>
      </c>
      <c r="H470" s="14" t="s">
        <v>699</v>
      </c>
    </row>
    <row r="471" ht="18.0" customHeight="1">
      <c r="A471" s="14" t="s">
        <v>679</v>
      </c>
      <c r="B471" s="14" t="s">
        <v>680</v>
      </c>
      <c r="C471" s="16">
        <v>0.375</v>
      </c>
      <c r="D471" s="16">
        <v>0.4583333333333333</v>
      </c>
      <c r="E471" s="14" t="s">
        <v>701</v>
      </c>
      <c r="F471" s="14" t="s">
        <v>342</v>
      </c>
      <c r="G471" s="19">
        <v>39.0</v>
      </c>
      <c r="H471" s="14" t="s">
        <v>696</v>
      </c>
    </row>
    <row r="472" ht="18.0" customHeight="1">
      <c r="A472" s="14" t="s">
        <v>679</v>
      </c>
      <c r="B472" s="14" t="s">
        <v>680</v>
      </c>
      <c r="C472" s="16">
        <v>0.375</v>
      </c>
      <c r="D472" s="16">
        <v>0.4583333333333333</v>
      </c>
      <c r="E472" s="14" t="s">
        <v>702</v>
      </c>
      <c r="F472" s="14" t="s">
        <v>38</v>
      </c>
      <c r="G472" s="19">
        <v>34.0</v>
      </c>
      <c r="H472" s="14" t="s">
        <v>269</v>
      </c>
    </row>
    <row r="473" ht="18.0" customHeight="1">
      <c r="A473" s="14" t="s">
        <v>679</v>
      </c>
      <c r="B473" s="14" t="s">
        <v>680</v>
      </c>
      <c r="C473" s="16">
        <v>0.375</v>
      </c>
      <c r="D473" s="16">
        <v>0.4583333333333333</v>
      </c>
      <c r="E473" s="14" t="s">
        <v>703</v>
      </c>
      <c r="F473" s="14" t="s">
        <v>75</v>
      </c>
      <c r="G473" s="19">
        <v>40.0</v>
      </c>
      <c r="H473" s="14" t="s">
        <v>597</v>
      </c>
    </row>
    <row r="474" ht="18.0" customHeight="1">
      <c r="A474" s="14" t="s">
        <v>679</v>
      </c>
      <c r="B474" s="14" t="s">
        <v>680</v>
      </c>
      <c r="C474" s="16">
        <v>0.375</v>
      </c>
      <c r="D474" s="16">
        <v>0.4583333333333333</v>
      </c>
      <c r="E474" s="14" t="s">
        <v>704</v>
      </c>
      <c r="F474" s="14" t="s">
        <v>75</v>
      </c>
      <c r="G474" s="19">
        <v>40.0</v>
      </c>
      <c r="H474" s="14" t="s">
        <v>597</v>
      </c>
    </row>
    <row r="475" ht="18.0" customHeight="1">
      <c r="A475" s="14" t="s">
        <v>679</v>
      </c>
      <c r="B475" s="14" t="s">
        <v>680</v>
      </c>
      <c r="C475" s="16">
        <v>0.375</v>
      </c>
      <c r="D475" s="16">
        <v>0.4583333333333333</v>
      </c>
      <c r="E475" s="14" t="s">
        <v>705</v>
      </c>
      <c r="F475" s="14" t="s">
        <v>75</v>
      </c>
      <c r="G475" s="19">
        <v>40.0</v>
      </c>
      <c r="H475" s="14" t="s">
        <v>597</v>
      </c>
    </row>
    <row r="476" ht="18.0" customHeight="1">
      <c r="A476" s="8"/>
      <c r="B476" s="21"/>
      <c r="C476" s="10"/>
      <c r="D476" s="10"/>
      <c r="E476" s="21"/>
      <c r="F476" s="21"/>
      <c r="G476" s="22">
        <v>638.0</v>
      </c>
      <c r="H476" s="21"/>
    </row>
    <row r="477" ht="24.0" customHeight="1">
      <c r="A477" s="8"/>
      <c r="B477" s="9" t="s">
        <v>88</v>
      </c>
      <c r="C477" s="10"/>
      <c r="D477" s="10"/>
      <c r="E477" s="21"/>
      <c r="F477" s="23" t="s">
        <v>671</v>
      </c>
      <c r="G477" s="22"/>
      <c r="H477" s="21"/>
    </row>
    <row r="478" ht="18.0" customHeight="1">
      <c r="A478" s="14" t="s">
        <v>706</v>
      </c>
      <c r="B478" s="14" t="s">
        <v>680</v>
      </c>
      <c r="C478" s="16">
        <v>0.5</v>
      </c>
      <c r="D478" s="16">
        <v>0.5833333333333334</v>
      </c>
      <c r="E478" s="14" t="s">
        <v>707</v>
      </c>
      <c r="F478" s="14" t="s">
        <v>62</v>
      </c>
      <c r="G478" s="19">
        <v>32.0</v>
      </c>
      <c r="H478" s="14" t="s">
        <v>461</v>
      </c>
    </row>
    <row r="479" ht="18.0" customHeight="1">
      <c r="A479" s="14" t="s">
        <v>706</v>
      </c>
      <c r="B479" s="14" t="s">
        <v>680</v>
      </c>
      <c r="C479" s="16">
        <v>0.5</v>
      </c>
      <c r="D479" s="16">
        <v>0.5833333333333334</v>
      </c>
      <c r="E479" s="14" t="s">
        <v>708</v>
      </c>
      <c r="F479" s="14" t="s">
        <v>62</v>
      </c>
      <c r="G479" s="19">
        <v>40.0</v>
      </c>
      <c r="H479" s="14" t="s">
        <v>461</v>
      </c>
    </row>
    <row r="480" ht="18.0" customHeight="1">
      <c r="A480" s="14" t="s">
        <v>706</v>
      </c>
      <c r="B480" s="14" t="s">
        <v>680</v>
      </c>
      <c r="C480" s="16">
        <v>0.5</v>
      </c>
      <c r="D480" s="16">
        <v>0.5833333333333334</v>
      </c>
      <c r="E480" s="14" t="s">
        <v>709</v>
      </c>
      <c r="F480" s="14" t="s">
        <v>62</v>
      </c>
      <c r="G480" s="19">
        <v>38.0</v>
      </c>
      <c r="H480" s="14" t="s">
        <v>358</v>
      </c>
    </row>
    <row r="481" ht="18.0" customHeight="1">
      <c r="A481" s="14" t="s">
        <v>706</v>
      </c>
      <c r="B481" s="14" t="s">
        <v>680</v>
      </c>
      <c r="C481" s="16">
        <v>0.5</v>
      </c>
      <c r="D481" s="16">
        <v>0.5833333333333334</v>
      </c>
      <c r="E481" s="14" t="s">
        <v>710</v>
      </c>
      <c r="F481" s="14" t="s">
        <v>62</v>
      </c>
      <c r="G481" s="19">
        <v>39.0</v>
      </c>
      <c r="H481" s="14" t="s">
        <v>358</v>
      </c>
    </row>
    <row r="482" ht="18.0" customHeight="1">
      <c r="A482" s="14" t="s">
        <v>706</v>
      </c>
      <c r="B482" s="14" t="s">
        <v>680</v>
      </c>
      <c r="C482" s="16">
        <v>0.5</v>
      </c>
      <c r="D482" s="16">
        <v>0.5833333333333334</v>
      </c>
      <c r="E482" s="14" t="s">
        <v>711</v>
      </c>
      <c r="F482" s="14" t="s">
        <v>266</v>
      </c>
      <c r="G482" s="19">
        <v>14.0</v>
      </c>
      <c r="H482" s="14" t="s">
        <v>712</v>
      </c>
    </row>
    <row r="483" ht="18.0" customHeight="1">
      <c r="A483" s="14" t="s">
        <v>706</v>
      </c>
      <c r="B483" s="14" t="s">
        <v>680</v>
      </c>
      <c r="C483" s="16">
        <v>0.5</v>
      </c>
      <c r="D483" s="16">
        <v>0.5833333333333334</v>
      </c>
      <c r="E483" s="14" t="s">
        <v>713</v>
      </c>
      <c r="F483" s="14" t="s">
        <v>266</v>
      </c>
      <c r="G483" s="19">
        <v>21.0</v>
      </c>
      <c r="H483" s="14" t="s">
        <v>712</v>
      </c>
    </row>
    <row r="484" ht="18.0" customHeight="1">
      <c r="A484" s="24" t="s">
        <v>706</v>
      </c>
      <c r="B484" s="24" t="s">
        <v>680</v>
      </c>
      <c r="C484" s="25">
        <v>0.5</v>
      </c>
      <c r="D484" s="25">
        <v>0.5833333333333334</v>
      </c>
      <c r="E484" s="24" t="s">
        <v>714</v>
      </c>
      <c r="F484" s="24" t="s">
        <v>425</v>
      </c>
      <c r="G484" s="27">
        <v>38.0</v>
      </c>
      <c r="H484" s="24" t="s">
        <v>715</v>
      </c>
    </row>
    <row r="485" ht="18.0" customHeight="1">
      <c r="A485" s="28" t="s">
        <v>706</v>
      </c>
      <c r="B485" s="29" t="s">
        <v>680</v>
      </c>
      <c r="C485" s="30">
        <v>0.5</v>
      </c>
      <c r="D485" s="30">
        <v>0.5833333333333334</v>
      </c>
      <c r="E485" s="29" t="s">
        <v>716</v>
      </c>
      <c r="F485" s="29" t="s">
        <v>425</v>
      </c>
      <c r="G485" s="31">
        <v>40.0</v>
      </c>
      <c r="H485" s="33" t="s">
        <v>715</v>
      </c>
    </row>
    <row r="486" ht="18.0" customHeight="1">
      <c r="A486" s="8"/>
      <c r="B486" s="39"/>
      <c r="C486" s="10"/>
      <c r="D486" s="10"/>
      <c r="E486" s="11"/>
      <c r="F486" s="40"/>
      <c r="G486" s="13">
        <v>262.0</v>
      </c>
      <c r="H486" s="13"/>
    </row>
    <row r="487" ht="24.0" customHeight="1">
      <c r="A487" s="8"/>
      <c r="B487" s="9" t="s">
        <v>88</v>
      </c>
      <c r="C487" s="10"/>
      <c r="D487" s="10"/>
      <c r="E487" s="21"/>
      <c r="F487" s="23" t="s">
        <v>717</v>
      </c>
      <c r="G487" s="22"/>
      <c r="H487" s="21"/>
    </row>
    <row r="488" ht="18.0" customHeight="1">
      <c r="A488" s="14" t="s">
        <v>718</v>
      </c>
      <c r="B488" s="14" t="s">
        <v>680</v>
      </c>
      <c r="C488" s="16">
        <v>0.625</v>
      </c>
      <c r="D488" s="16">
        <v>0.7083333333333334</v>
      </c>
      <c r="E488" s="14" t="s">
        <v>719</v>
      </c>
      <c r="F488" s="14" t="s">
        <v>42</v>
      </c>
      <c r="G488" s="19">
        <v>36.0</v>
      </c>
      <c r="H488" s="14" t="s">
        <v>369</v>
      </c>
    </row>
    <row r="489" ht="18.0" customHeight="1">
      <c r="A489" s="14" t="s">
        <v>718</v>
      </c>
      <c r="B489" s="14" t="s">
        <v>680</v>
      </c>
      <c r="C489" s="16">
        <v>0.625</v>
      </c>
      <c r="D489" s="16">
        <v>0.7083333333333334</v>
      </c>
      <c r="E489" s="14" t="s">
        <v>720</v>
      </c>
      <c r="F489" s="14" t="s">
        <v>42</v>
      </c>
      <c r="G489" s="19">
        <v>36.0</v>
      </c>
      <c r="H489" s="14" t="s">
        <v>369</v>
      </c>
    </row>
    <row r="490" ht="18.0" customHeight="1">
      <c r="A490" s="14" t="s">
        <v>718</v>
      </c>
      <c r="B490" s="14" t="s">
        <v>680</v>
      </c>
      <c r="C490" s="16">
        <v>0.625</v>
      </c>
      <c r="D490" s="16">
        <v>0.7083333333333334</v>
      </c>
      <c r="E490" s="14" t="s">
        <v>721</v>
      </c>
      <c r="F490" s="14" t="s">
        <v>26</v>
      </c>
      <c r="G490" s="19">
        <v>40.0</v>
      </c>
      <c r="H490" s="14" t="s">
        <v>686</v>
      </c>
    </row>
    <row r="491" ht="18.0" customHeight="1">
      <c r="A491" s="14" t="s">
        <v>718</v>
      </c>
      <c r="B491" s="14" t="s">
        <v>680</v>
      </c>
      <c r="C491" s="16">
        <v>0.625</v>
      </c>
      <c r="D491" s="16">
        <v>0.7083333333333334</v>
      </c>
      <c r="E491" s="14" t="s">
        <v>722</v>
      </c>
      <c r="F491" s="14" t="s">
        <v>26</v>
      </c>
      <c r="G491" s="19">
        <v>40.0</v>
      </c>
      <c r="H491" s="14" t="s">
        <v>686</v>
      </c>
    </row>
    <row r="492" ht="18.0" customHeight="1">
      <c r="A492" s="14" t="s">
        <v>718</v>
      </c>
      <c r="B492" s="14" t="s">
        <v>680</v>
      </c>
      <c r="C492" s="16">
        <v>0.625</v>
      </c>
      <c r="D492" s="16">
        <v>0.7083333333333334</v>
      </c>
      <c r="E492" s="14" t="s">
        <v>723</v>
      </c>
      <c r="F492" s="14" t="s">
        <v>26</v>
      </c>
      <c r="G492" s="19">
        <v>40.0</v>
      </c>
      <c r="H492" s="14" t="s">
        <v>585</v>
      </c>
    </row>
    <row r="493" ht="18.0" customHeight="1">
      <c r="A493" s="14" t="s">
        <v>718</v>
      </c>
      <c r="B493" s="14" t="s">
        <v>680</v>
      </c>
      <c r="C493" s="16">
        <v>0.625</v>
      </c>
      <c r="D493" s="16">
        <v>0.7083333333333334</v>
      </c>
      <c r="E493" s="14" t="s">
        <v>724</v>
      </c>
      <c r="F493" s="14" t="s">
        <v>26</v>
      </c>
      <c r="G493" s="19">
        <v>40.0</v>
      </c>
      <c r="H493" s="14" t="s">
        <v>585</v>
      </c>
    </row>
    <row r="494" ht="18.0" customHeight="1">
      <c r="A494" s="14" t="s">
        <v>718</v>
      </c>
      <c r="B494" s="14" t="s">
        <v>680</v>
      </c>
      <c r="C494" s="16">
        <v>0.625</v>
      </c>
      <c r="D494" s="16">
        <v>0.7083333333333334</v>
      </c>
      <c r="E494" s="14" t="s">
        <v>725</v>
      </c>
      <c r="F494" s="14" t="s">
        <v>335</v>
      </c>
      <c r="G494" s="19">
        <v>37.0</v>
      </c>
      <c r="H494" s="14" t="s">
        <v>726</v>
      </c>
    </row>
    <row r="495" ht="18.0" customHeight="1">
      <c r="A495" s="14" t="s">
        <v>718</v>
      </c>
      <c r="B495" s="14" t="s">
        <v>680</v>
      </c>
      <c r="C495" s="16">
        <v>0.625</v>
      </c>
      <c r="D495" s="16">
        <v>0.7083333333333334</v>
      </c>
      <c r="E495" s="14" t="s">
        <v>727</v>
      </c>
      <c r="F495" s="14" t="s">
        <v>335</v>
      </c>
      <c r="G495" s="19">
        <v>27.0</v>
      </c>
      <c r="H495" s="14" t="s">
        <v>726</v>
      </c>
    </row>
    <row r="496" ht="18.0" customHeight="1">
      <c r="A496" s="14" t="s">
        <v>718</v>
      </c>
      <c r="B496" s="14" t="s">
        <v>680</v>
      </c>
      <c r="C496" s="16">
        <v>0.625</v>
      </c>
      <c r="D496" s="16">
        <v>0.7083333333333334</v>
      </c>
      <c r="E496" s="14" t="s">
        <v>728</v>
      </c>
      <c r="F496" s="14" t="s">
        <v>335</v>
      </c>
      <c r="G496" s="19">
        <v>39.0</v>
      </c>
      <c r="H496" s="14" t="s">
        <v>726</v>
      </c>
    </row>
    <row r="497" ht="18.0" customHeight="1">
      <c r="A497" s="14" t="s">
        <v>718</v>
      </c>
      <c r="B497" s="14" t="s">
        <v>680</v>
      </c>
      <c r="C497" s="16">
        <v>0.625</v>
      </c>
      <c r="D497" s="16">
        <v>0.7083333333333334</v>
      </c>
      <c r="E497" s="14" t="s">
        <v>729</v>
      </c>
      <c r="F497" s="14" t="s">
        <v>335</v>
      </c>
      <c r="G497" s="19">
        <v>35.0</v>
      </c>
      <c r="H497" s="14" t="s">
        <v>726</v>
      </c>
    </row>
    <row r="498" ht="18.0" customHeight="1">
      <c r="A498" s="14" t="s">
        <v>718</v>
      </c>
      <c r="B498" s="14" t="s">
        <v>680</v>
      </c>
      <c r="C498" s="16">
        <v>0.625</v>
      </c>
      <c r="D498" s="16">
        <v>0.7083333333333334</v>
      </c>
      <c r="E498" s="14" t="s">
        <v>730</v>
      </c>
      <c r="F498" s="14" t="s">
        <v>342</v>
      </c>
      <c r="G498" s="19">
        <v>1.0</v>
      </c>
      <c r="H498" s="14" t="s">
        <v>333</v>
      </c>
    </row>
    <row r="499" ht="18.0" customHeight="1">
      <c r="A499" s="14" t="s">
        <v>718</v>
      </c>
      <c r="B499" s="14" t="s">
        <v>680</v>
      </c>
      <c r="C499" s="16">
        <v>0.625</v>
      </c>
      <c r="D499" s="16">
        <v>0.7083333333333334</v>
      </c>
      <c r="E499" s="14" t="s">
        <v>731</v>
      </c>
      <c r="F499" s="14" t="s">
        <v>342</v>
      </c>
      <c r="G499" s="19">
        <v>38.0</v>
      </c>
      <c r="H499" s="14" t="s">
        <v>333</v>
      </c>
    </row>
    <row r="500" ht="18.0" customHeight="1">
      <c r="A500" s="14" t="s">
        <v>718</v>
      </c>
      <c r="B500" s="14" t="s">
        <v>680</v>
      </c>
      <c r="C500" s="16">
        <v>0.625</v>
      </c>
      <c r="D500" s="16">
        <v>0.7083333333333334</v>
      </c>
      <c r="E500" s="14" t="s">
        <v>732</v>
      </c>
      <c r="F500" s="14" t="s">
        <v>342</v>
      </c>
      <c r="G500" s="19">
        <v>39.0</v>
      </c>
      <c r="H500" s="14" t="s">
        <v>333</v>
      </c>
    </row>
    <row r="501" ht="18.0" customHeight="1">
      <c r="A501" s="14" t="s">
        <v>718</v>
      </c>
      <c r="B501" s="14" t="s">
        <v>680</v>
      </c>
      <c r="C501" s="16">
        <v>0.625</v>
      </c>
      <c r="D501" s="16">
        <v>0.7083333333333334</v>
      </c>
      <c r="E501" s="14" t="s">
        <v>733</v>
      </c>
      <c r="F501" s="14" t="s">
        <v>342</v>
      </c>
      <c r="G501" s="19">
        <v>40.0</v>
      </c>
      <c r="H501" s="14" t="s">
        <v>333</v>
      </c>
    </row>
    <row r="502" ht="18.0" customHeight="1">
      <c r="A502" s="14" t="s">
        <v>718</v>
      </c>
      <c r="B502" s="14" t="s">
        <v>680</v>
      </c>
      <c r="C502" s="16">
        <v>0.625</v>
      </c>
      <c r="D502" s="16">
        <v>0.7083333333333334</v>
      </c>
      <c r="E502" s="14" t="s">
        <v>734</v>
      </c>
      <c r="F502" s="14" t="s">
        <v>342</v>
      </c>
      <c r="G502" s="19">
        <v>39.0</v>
      </c>
      <c r="H502" s="14" t="s">
        <v>484</v>
      </c>
    </row>
    <row r="503" ht="18.0" customHeight="1">
      <c r="A503" s="14" t="s">
        <v>718</v>
      </c>
      <c r="B503" s="14" t="s">
        <v>680</v>
      </c>
      <c r="C503" s="16">
        <v>0.625</v>
      </c>
      <c r="D503" s="16">
        <v>0.7083333333333334</v>
      </c>
      <c r="E503" s="14" t="s">
        <v>735</v>
      </c>
      <c r="F503" s="14" t="s">
        <v>346</v>
      </c>
      <c r="G503" s="19">
        <v>39.0</v>
      </c>
      <c r="H503" s="14" t="s">
        <v>736</v>
      </c>
    </row>
    <row r="504" ht="18.0" customHeight="1">
      <c r="A504" s="14" t="s">
        <v>718</v>
      </c>
      <c r="B504" s="14" t="s">
        <v>680</v>
      </c>
      <c r="C504" s="16">
        <v>0.625</v>
      </c>
      <c r="D504" s="16">
        <v>0.7083333333333334</v>
      </c>
      <c r="E504" s="14" t="s">
        <v>737</v>
      </c>
      <c r="F504" s="14" t="s">
        <v>266</v>
      </c>
      <c r="G504" s="19">
        <v>22.0</v>
      </c>
      <c r="H504" s="14" t="s">
        <v>738</v>
      </c>
    </row>
    <row r="505" ht="18.0" customHeight="1">
      <c r="A505" s="24" t="s">
        <v>718</v>
      </c>
      <c r="B505" s="24" t="s">
        <v>680</v>
      </c>
      <c r="C505" s="25">
        <v>0.625</v>
      </c>
      <c r="D505" s="16">
        <v>0.7083333333333334</v>
      </c>
      <c r="E505" s="24" t="s">
        <v>739</v>
      </c>
      <c r="F505" s="24" t="s">
        <v>266</v>
      </c>
      <c r="G505" s="27">
        <v>36.0</v>
      </c>
      <c r="H505" s="24" t="s">
        <v>738</v>
      </c>
    </row>
    <row r="506" ht="18.0" customHeight="1">
      <c r="A506" s="47" t="s">
        <v>718</v>
      </c>
      <c r="B506" s="48" t="s">
        <v>680</v>
      </c>
      <c r="C506" s="49">
        <v>0.625</v>
      </c>
      <c r="D506" s="49">
        <v>0.7083333333333334</v>
      </c>
      <c r="E506" s="48" t="s">
        <v>740</v>
      </c>
      <c r="F506" s="48" t="s">
        <v>741</v>
      </c>
      <c r="G506" s="50">
        <v>30.0</v>
      </c>
      <c r="H506" s="51" t="s">
        <v>176</v>
      </c>
    </row>
    <row r="507" ht="18.0" customHeight="1">
      <c r="A507" s="52" t="s">
        <v>718</v>
      </c>
      <c r="B507" s="53" t="s">
        <v>680</v>
      </c>
      <c r="C507" s="54">
        <v>0.625</v>
      </c>
      <c r="D507" s="54">
        <v>0.7083333333333334</v>
      </c>
      <c r="E507" s="55" t="s">
        <v>742</v>
      </c>
      <c r="F507" s="56" t="s">
        <v>741</v>
      </c>
      <c r="G507" s="48">
        <v>30.0</v>
      </c>
      <c r="H507" s="48" t="s">
        <v>187</v>
      </c>
    </row>
    <row r="508" ht="18.0" customHeight="1">
      <c r="A508" s="57" t="s">
        <v>718</v>
      </c>
      <c r="B508" s="57" t="s">
        <v>680</v>
      </c>
      <c r="C508" s="58">
        <v>0.625</v>
      </c>
      <c r="D508" s="58">
        <v>0.7083333333333334</v>
      </c>
      <c r="E508" s="57" t="s">
        <v>743</v>
      </c>
      <c r="F508" s="52" t="s">
        <v>741</v>
      </c>
      <c r="G508" s="59">
        <v>30.0</v>
      </c>
      <c r="H508" s="52" t="s">
        <v>180</v>
      </c>
    </row>
    <row r="509" ht="18.0" customHeight="1">
      <c r="A509" s="57" t="s">
        <v>718</v>
      </c>
      <c r="B509" s="57" t="s">
        <v>680</v>
      </c>
      <c r="C509" s="58">
        <v>0.625</v>
      </c>
      <c r="D509" s="58">
        <v>0.7083333333333334</v>
      </c>
      <c r="E509" s="57" t="s">
        <v>744</v>
      </c>
      <c r="F509" s="57" t="s">
        <v>741</v>
      </c>
      <c r="G509" s="60">
        <v>29.0</v>
      </c>
      <c r="H509" s="57" t="s">
        <v>745</v>
      </c>
    </row>
    <row r="510" ht="18.0" customHeight="1">
      <c r="A510" s="57" t="s">
        <v>718</v>
      </c>
      <c r="B510" s="57" t="s">
        <v>680</v>
      </c>
      <c r="C510" s="58">
        <v>0.625</v>
      </c>
      <c r="D510" s="58">
        <v>0.7083333333333334</v>
      </c>
      <c r="E510" s="57" t="s">
        <v>746</v>
      </c>
      <c r="F510" s="57" t="s">
        <v>741</v>
      </c>
      <c r="G510" s="60">
        <v>30.0</v>
      </c>
      <c r="H510" s="57" t="s">
        <v>747</v>
      </c>
    </row>
    <row r="511" ht="18.0" customHeight="1">
      <c r="A511" s="57" t="s">
        <v>718</v>
      </c>
      <c r="B511" s="57" t="s">
        <v>680</v>
      </c>
      <c r="C511" s="58">
        <v>0.625</v>
      </c>
      <c r="D511" s="58">
        <v>0.7083333333333334</v>
      </c>
      <c r="E511" s="57" t="s">
        <v>748</v>
      </c>
      <c r="F511" s="57" t="s">
        <v>741</v>
      </c>
      <c r="G511" s="60">
        <v>30.0</v>
      </c>
      <c r="H511" s="57" t="s">
        <v>745</v>
      </c>
    </row>
    <row r="512" ht="18.0" customHeight="1">
      <c r="A512" s="57" t="s">
        <v>718</v>
      </c>
      <c r="B512" s="57" t="s">
        <v>680</v>
      </c>
      <c r="C512" s="58">
        <v>0.625</v>
      </c>
      <c r="D512" s="58">
        <v>0.7083333333333334</v>
      </c>
      <c r="E512" s="57" t="s">
        <v>749</v>
      </c>
      <c r="F512" s="57" t="s">
        <v>741</v>
      </c>
      <c r="G512" s="60">
        <v>30.0</v>
      </c>
      <c r="H512" s="57" t="s">
        <v>750</v>
      </c>
    </row>
    <row r="513" ht="18.0" customHeight="1">
      <c r="A513" s="57" t="s">
        <v>718</v>
      </c>
      <c r="B513" s="57" t="s">
        <v>680</v>
      </c>
      <c r="C513" s="58">
        <v>0.625</v>
      </c>
      <c r="D513" s="58">
        <v>0.7083333333333334</v>
      </c>
      <c r="E513" s="57" t="s">
        <v>751</v>
      </c>
      <c r="F513" s="57" t="s">
        <v>741</v>
      </c>
      <c r="G513" s="60">
        <v>25.0</v>
      </c>
      <c r="H513" s="57" t="s">
        <v>752</v>
      </c>
    </row>
    <row r="514" ht="18.0" customHeight="1">
      <c r="A514" s="57" t="s">
        <v>718</v>
      </c>
      <c r="B514" s="57" t="s">
        <v>680</v>
      </c>
      <c r="C514" s="58">
        <v>0.625</v>
      </c>
      <c r="D514" s="58">
        <v>0.7083333333333334</v>
      </c>
      <c r="E514" s="57" t="s">
        <v>753</v>
      </c>
      <c r="F514" s="57" t="s">
        <v>741</v>
      </c>
      <c r="G514" s="60">
        <v>23.0</v>
      </c>
      <c r="H514" s="57" t="s">
        <v>752</v>
      </c>
    </row>
    <row r="515" ht="18.0" customHeight="1">
      <c r="A515" s="57" t="s">
        <v>718</v>
      </c>
      <c r="B515" s="57" t="s">
        <v>680</v>
      </c>
      <c r="C515" s="58">
        <v>0.625</v>
      </c>
      <c r="D515" s="58">
        <v>0.7083333333333334</v>
      </c>
      <c r="E515" s="57" t="s">
        <v>754</v>
      </c>
      <c r="F515" s="57" t="s">
        <v>741</v>
      </c>
      <c r="G515" s="60">
        <v>26.0</v>
      </c>
      <c r="H515" s="57" t="s">
        <v>178</v>
      </c>
    </row>
    <row r="516" ht="18.0" customHeight="1">
      <c r="A516" s="8"/>
      <c r="B516" s="21"/>
      <c r="C516" s="10"/>
      <c r="D516" s="10"/>
      <c r="E516" s="21"/>
      <c r="F516" s="21"/>
      <c r="G516" s="22">
        <v>907.0</v>
      </c>
      <c r="H516" s="21"/>
    </row>
    <row r="517" ht="15.75" customHeight="1">
      <c r="A517" s="61"/>
      <c r="B517" s="61"/>
      <c r="C517" s="61"/>
      <c r="D517" s="62"/>
      <c r="E517" s="61"/>
      <c r="F517" s="61"/>
      <c r="G517" s="61"/>
      <c r="H517" s="61"/>
    </row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conditionalFormatting sqref="H4:H517">
    <cfRule type="expression" dxfId="0" priority="1">
      <formula> #REF! = 0</formula>
    </cfRule>
  </conditionalFormatting>
  <conditionalFormatting sqref="H1:H517">
    <cfRule type="colorScale" priority="2">
      <colorScale>
        <cfvo type="min"/>
        <cfvo type="max"/>
        <color rgb="FFFFFFFF"/>
        <color rgb="FF57BB8A"/>
      </colorScale>
    </cfRule>
  </conditionalFormatting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8.13"/>
    <col customWidth="1" min="2" max="2" width="14.13"/>
    <col customWidth="1" min="3" max="3" width="10.0"/>
    <col customWidth="1" min="4" max="4" width="9.25"/>
    <col customWidth="1" min="5" max="5" width="14.13"/>
    <col customWidth="1" min="6" max="6" width="9.0"/>
    <col customWidth="1" min="7" max="7" width="11.25"/>
    <col customWidth="1" min="9" max="9" width="21.63"/>
    <col customWidth="1" min="11" max="11" width="59.63"/>
  </cols>
  <sheetData>
    <row r="1" ht="15.75" customHeight="1">
      <c r="A1" s="1">
        <v>1.0</v>
      </c>
      <c r="B1" s="1">
        <v>7.0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4"/>
      <c r="I1" s="4" t="s">
        <v>8</v>
      </c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75" customHeight="1">
      <c r="A2" s="15" t="str">
        <f>IFERROR(__xludf.DUMMYFUNCTION(" SORT(UNIQUE(FILTER(Routine!H4:H994, Routine!H4:H994 &lt;&gt; """")))"),"[ABAH] Abid Ahmad")</f>
        <v>[ABAH] Abid Ahmad</v>
      </c>
      <c r="B2" s="15">
        <f t="shared" ref="B2:B188" si="1"> COUNTIF(#REF!, "*" &amp;LEFT(A2, FIND("]", A2)) &amp;"*")</f>
        <v>0</v>
      </c>
      <c r="C2" s="15" t="str">
        <f>IFERROR(__xludf.DUMMYFUNCTION(" QUERY(IMPORTRANGE(""https://docs.google.com/spreadsheets/d/1xytwrrnzAdDwj8WFj5u6b5L5uYRsNheZVC4UcGqUzKQ/edit?gid=1891914664#gid=1891914664"", ""Faculty-wise All!A2:D""), ""SELECT Col4 WHERE Col1 = '"" &amp;A2 &amp;""'"")"),"#REF!")</f>
        <v>#REF!</v>
      </c>
      <c r="D2" s="15"/>
      <c r="E2" s="26" t="str">
        <f t="shared" ref="E2:E179" si="2"> IF(G2 &gt; 0, ((C2/3) * 2) - D2+2, (C2/3) - D2)</f>
        <v>#REF!</v>
      </c>
      <c r="F2" s="32" t="str">
        <f t="shared" ref="F2:F188" si="3"> IF(E2 = B2, "==", IF(E2 &lt; B2, "&gt;", "&lt;"))</f>
        <v>#REF!</v>
      </c>
      <c r="G2" s="15">
        <f>IFERROR(__xludf.DUMMYFUNCTION("IF(COUNTIF(IMPORTRANGE(""https://docs.google.com/spreadsheets/d/1xytwrrnzAdDwj8WFj5u6b5L5uYRsNheZVC4UcGqUzKQ/edit"", ""'Full Time Load'!B:B""), ""*"" &amp; MID(A2, 2, FIND(""]"", A2) - 2) &amp; ""*"") &gt; 0, 1, 0)"),0.0)</f>
        <v>0</v>
      </c>
      <c r="K2" s="38" t="str">
        <f> "Total Remaining Invigilations to Assign: " &amp;COUNTIF(#REF!, "*[]*")</f>
        <v>Total Remaining Invigilations to Assign: 0</v>
      </c>
    </row>
    <row r="3" ht="15.75" customHeight="1">
      <c r="A3" s="15" t="str">
        <f>IFERROR(__xludf.DUMMYFUNCTION("""COMPUTED_VALUE"""),"[ADB] Abdul Barik")</f>
        <v>[ADB] Abdul Barik</v>
      </c>
      <c r="B3" s="15">
        <f t="shared" si="1"/>
        <v>0</v>
      </c>
      <c r="C3" s="15" t="str">
        <f>IFERROR(__xludf.DUMMYFUNCTION(" QUERY(IMPORTRANGE(""https://docs.google.com/spreadsheets/d/1xytwrrnzAdDwj8WFj5u6b5L5uYRsNheZVC4UcGqUzKQ/edit?gid=1891914664#gid=1891914664"", ""Faculty-wise All!A2:D""), ""SELECT Col4 WHERE Col1 = '"" &amp;A3 &amp;""'"")"),"#REF!")</f>
        <v>#REF!</v>
      </c>
      <c r="D3" s="15"/>
      <c r="E3" s="26" t="str">
        <f t="shared" si="2"/>
        <v>#REF!</v>
      </c>
      <c r="F3" s="32" t="str">
        <f t="shared" si="3"/>
        <v>#REF!</v>
      </c>
      <c r="G3" s="15">
        <f>IFERROR(__xludf.DUMMYFUNCTION("IF(COUNTIF(IMPORTRANGE(""https://docs.google.com/spreadsheets/d/1xytwrrnzAdDwj8WFj5u6b5L5uYRsNheZVC4UcGqUzKQ/edit"", ""'Full Time Load'!B:B""), ""*"" &amp; MID(A3, 2, FIND(""]"", A3) - 2) &amp; ""*"") &gt; 0, 1, 0)"),0.0)</f>
        <v>0</v>
      </c>
    </row>
    <row r="4" ht="15.75" customHeight="1">
      <c r="A4" s="15" t="str">
        <f>IFERROR(__xludf.DUMMYFUNCTION("""COMPUTED_VALUE"""),"[ADMR] Adib Md. Ridwan")</f>
        <v>[ADMR] Adib Md. Ridwan</v>
      </c>
      <c r="B4" s="15">
        <f t="shared" si="1"/>
        <v>0</v>
      </c>
      <c r="C4" s="15" t="str">
        <f>IFERROR(__xludf.DUMMYFUNCTION(" QUERY(IMPORTRANGE(""https://docs.google.com/spreadsheets/d/1xytwrrnzAdDwj8WFj5u6b5L5uYRsNheZVC4UcGqUzKQ/edit?gid=1891914664#gid=1891914664"", ""Faculty-wise All!A2:D""), ""SELECT Col4 WHERE Col1 = '"" &amp;A4 &amp;""'"")"),"#REF!")</f>
        <v>#REF!</v>
      </c>
      <c r="D4" s="15"/>
      <c r="E4" s="26" t="str">
        <f t="shared" si="2"/>
        <v>#REF!</v>
      </c>
      <c r="F4" s="32" t="str">
        <f t="shared" si="3"/>
        <v>#REF!</v>
      </c>
      <c r="G4" s="15">
        <f>IFERROR(__xludf.DUMMYFUNCTION("IF(COUNTIF(IMPORTRANGE(""https://docs.google.com/spreadsheets/d/1xytwrrnzAdDwj8WFj5u6b5L5uYRsNheZVC4UcGqUzKQ/edit"", ""'Full Time Load'!B:B""), ""*"" &amp; MID(A4, 2, FIND(""]"", A4) - 2) &amp; ""*"") &gt; 0, 1, 0)"),0.0)</f>
        <v>0</v>
      </c>
      <c r="K4" s="38" t="str">
        <f> "Total Remaining Targeted Invigilation: " &amp;SUM(E1:E1000)-SUM(B1:B1000)</f>
        <v>#REF!</v>
      </c>
    </row>
    <row r="5" ht="15.75" customHeight="1">
      <c r="A5" s="15" t="str">
        <f>IFERROR(__xludf.DUMMYFUNCTION("""COMPUTED_VALUE"""),"[AFMM] A. F. M. Masum Rabbani Ph. D")</f>
        <v>[AFMM] A. F. M. Masum Rabbani Ph. D</v>
      </c>
      <c r="B5" s="15">
        <f t="shared" si="1"/>
        <v>0</v>
      </c>
      <c r="C5" s="15" t="str">
        <f>IFERROR(__xludf.DUMMYFUNCTION(" QUERY(IMPORTRANGE(""https://docs.google.com/spreadsheets/d/1xytwrrnzAdDwj8WFj5u6b5L5uYRsNheZVC4UcGqUzKQ/edit?gid=1891914664#gid=1891914664"", ""Faculty-wise All!A2:D""), ""SELECT Col4 WHERE Col1 = '"" &amp;A5 &amp;""'"")"),"#REF!")</f>
        <v>#REF!</v>
      </c>
      <c r="D5" s="15"/>
      <c r="E5" s="26" t="str">
        <f t="shared" si="2"/>
        <v>#REF!</v>
      </c>
      <c r="F5" s="32" t="str">
        <f t="shared" si="3"/>
        <v>#REF!</v>
      </c>
      <c r="G5" s="15">
        <f>IFERROR(__xludf.DUMMYFUNCTION("IF(COUNTIF(IMPORTRANGE(""https://docs.google.com/spreadsheets/d/1xytwrrnzAdDwj8WFj5u6b5L5uYRsNheZVC4UcGqUzKQ/edit"", ""'Full Time Load'!B:B""), ""*"" &amp; MID(A5, 2, FIND(""]"", A5) - 2) &amp; ""*"") &gt; 0, 1, 0)"),0.0)</f>
        <v>0</v>
      </c>
    </row>
    <row r="6" ht="15.75" customHeight="1">
      <c r="A6" s="15" t="str">
        <f>IFERROR(__xludf.DUMMYFUNCTION("""COMPUTED_VALUE"""),"[AHQ] Mohammad Ashraful Hoque")</f>
        <v>[AHQ] Mohammad Ashraful Hoque</v>
      </c>
      <c r="B6" s="15">
        <f t="shared" si="1"/>
        <v>0</v>
      </c>
      <c r="C6" s="15" t="str">
        <f>IFERROR(__xludf.DUMMYFUNCTION(" QUERY(IMPORTRANGE(""https://docs.google.com/spreadsheets/d/1xytwrrnzAdDwj8WFj5u6b5L5uYRsNheZVC4UcGqUzKQ/edit?gid=1891914664#gid=1891914664"", ""Faculty-wise All!A2:D""), ""SELECT Col4 WHERE Col1 = '"" &amp;A6 &amp;""'"")"),"#REF!")</f>
        <v>#REF!</v>
      </c>
      <c r="D6" s="15">
        <v>3.0</v>
      </c>
      <c r="E6" s="26" t="str">
        <f t="shared" si="2"/>
        <v>#REF!</v>
      </c>
      <c r="F6" s="32" t="str">
        <f t="shared" si="3"/>
        <v>#REF!</v>
      </c>
      <c r="G6" s="15">
        <f>IFERROR(__xludf.DUMMYFUNCTION("IF(COUNTIF(IMPORTRANGE(""https://docs.google.com/spreadsheets/d/1xytwrrnzAdDwj8WFj5u6b5L5uYRsNheZVC4UcGqUzKQ/edit"", ""'Full Time Load'!B:B""), ""*"" &amp; MID(A6, 2, FIND(""]"", A6) - 2) &amp; ""*"") &gt; 0, 1, 0)"),0.0)</f>
        <v>0</v>
      </c>
      <c r="H6" s="43" t="s">
        <v>164</v>
      </c>
    </row>
    <row r="7" ht="15.75" customHeight="1">
      <c r="A7" s="15" t="str">
        <f>IFERROR(__xludf.DUMMYFUNCTION("""COMPUTED_VALUE"""),"[AHS] Ashek Seum")</f>
        <v>[AHS] Ashek Seum</v>
      </c>
      <c r="B7" s="15">
        <f t="shared" si="1"/>
        <v>0</v>
      </c>
      <c r="C7" s="15" t="str">
        <f>IFERROR(__xludf.DUMMYFUNCTION(" QUERY(IMPORTRANGE(""https://docs.google.com/spreadsheets/d/1xytwrrnzAdDwj8WFj5u6b5L5uYRsNheZVC4UcGqUzKQ/edit?gid=1891914664#gid=1891914664"", ""Faculty-wise All!A2:D""), ""SELECT Col4 WHERE Col1 = '"" &amp;A7 &amp;""'"")"),"#REF!")</f>
        <v>#REF!</v>
      </c>
      <c r="D7" s="15"/>
      <c r="E7" s="26" t="str">
        <f t="shared" si="2"/>
        <v>#REF!</v>
      </c>
      <c r="F7" s="32" t="str">
        <f t="shared" si="3"/>
        <v>#REF!</v>
      </c>
      <c r="G7" s="15">
        <f>IFERROR(__xludf.DUMMYFUNCTION("IF(COUNTIF(IMPORTRANGE(""https://docs.google.com/spreadsheets/d/1xytwrrnzAdDwj8WFj5u6b5L5uYRsNheZVC4UcGqUzKQ/edit"", ""'Full Time Load'!B:B""), ""*"" &amp; MID(A7, 2, FIND(""]"", A7) - 2) &amp; ""*"") &gt; 0, 1, 0)"),0.0)</f>
        <v>0</v>
      </c>
    </row>
    <row r="8" ht="15.75" customHeight="1">
      <c r="A8" s="15" t="str">
        <f>IFERROR(__xludf.DUMMYFUNCTION("""COMPUTED_VALUE"""),"[AKMA] A. K. M. Ahsanul Haque")</f>
        <v>[AKMA] A. K. M. Ahsanul Haque</v>
      </c>
      <c r="B8" s="15">
        <f t="shared" si="1"/>
        <v>0</v>
      </c>
      <c r="C8" s="15" t="str">
        <f>IFERROR(__xludf.DUMMYFUNCTION(" QUERY(IMPORTRANGE(""https://docs.google.com/spreadsheets/d/1xytwrrnzAdDwj8WFj5u6b5L5uYRsNheZVC4UcGqUzKQ/edit?gid=1891914664#gid=1891914664"", ""Faculty-wise All!A2:D""), ""SELECT Col4 WHERE Col1 = '"" &amp;A8 &amp;""'"")"),"#REF!")</f>
        <v>#REF!</v>
      </c>
      <c r="D8" s="15"/>
      <c r="E8" s="26" t="str">
        <f t="shared" si="2"/>
        <v>#REF!</v>
      </c>
      <c r="F8" s="32" t="str">
        <f t="shared" si="3"/>
        <v>#REF!</v>
      </c>
      <c r="G8" s="15">
        <f>IFERROR(__xludf.DUMMYFUNCTION("IF(COUNTIF(IMPORTRANGE(""https://docs.google.com/spreadsheets/d/1xytwrrnzAdDwj8WFj5u6b5L5uYRsNheZVC4UcGqUzKQ/edit"", ""'Full Time Load'!B:B""), ""*"" &amp; MID(A8, 2, FIND(""]"", A8) - 2) &amp; ""*"") &gt; 0, 1, 0)"),0.0)</f>
        <v>0</v>
      </c>
    </row>
    <row r="9" ht="15.75" customHeight="1">
      <c r="A9" s="15" t="str">
        <f>IFERROR(__xludf.DUMMYFUNCTION("""COMPUTED_VALUE"""),"[AMH] Md. Asiful Islam Miah")</f>
        <v>[AMH] Md. Asiful Islam Miah</v>
      </c>
      <c r="B9" s="15">
        <f t="shared" si="1"/>
        <v>0</v>
      </c>
      <c r="C9" s="15" t="str">
        <f>IFERROR(__xludf.DUMMYFUNCTION(" QUERY(IMPORTRANGE(""https://docs.google.com/spreadsheets/d/1xytwrrnzAdDwj8WFj5u6b5L5uYRsNheZVC4UcGqUzKQ/edit?gid=1891914664#gid=1891914664"", ""Faculty-wise All!A2:D""), ""SELECT Col4 WHERE Col1 = '"" &amp;A9 &amp;""'"")"),"#REF!")</f>
        <v>#REF!</v>
      </c>
      <c r="D9" s="15"/>
      <c r="E9" s="26" t="str">
        <f t="shared" si="2"/>
        <v>#REF!</v>
      </c>
      <c r="F9" s="32" t="str">
        <f t="shared" si="3"/>
        <v>#REF!</v>
      </c>
      <c r="G9" s="15">
        <f>IFERROR(__xludf.DUMMYFUNCTION("IF(COUNTIF(IMPORTRANGE(""https://docs.google.com/spreadsheets/d/1xytwrrnzAdDwj8WFj5u6b5L5uYRsNheZVC4UcGqUzKQ/edit"", ""'Full Time Load'!B:B""), ""*"" &amp; MID(A9, 2, FIND(""]"", A9) - 2) &amp; ""*"") &gt; 0, 1, 0)"),0.0)</f>
        <v>0</v>
      </c>
    </row>
    <row r="10" ht="15.75" customHeight="1">
      <c r="A10" s="15" t="str">
        <f>IFERROR(__xludf.DUMMYFUNCTION("""COMPUTED_VALUE"""),"[AMR] Md. Aminur Rahman")</f>
        <v>[AMR] Md. Aminur Rahman</v>
      </c>
      <c r="B10" s="15">
        <f t="shared" si="1"/>
        <v>0</v>
      </c>
      <c r="C10" s="15" t="str">
        <f>IFERROR(__xludf.DUMMYFUNCTION(" QUERY(IMPORTRANGE(""https://docs.google.com/spreadsheets/d/1xytwrrnzAdDwj8WFj5u6b5L5uYRsNheZVC4UcGqUzKQ/edit?gid=1891914664#gid=1891914664"", ""Faculty-wise All!A2:D""), ""SELECT Col4 WHERE Col1 = '"" &amp;A10 &amp;""'"")"),"#REF!")</f>
        <v>#REF!</v>
      </c>
      <c r="D10" s="15"/>
      <c r="E10" s="26" t="str">
        <f t="shared" si="2"/>
        <v>#REF!</v>
      </c>
      <c r="F10" s="32" t="str">
        <f t="shared" si="3"/>
        <v>#REF!</v>
      </c>
      <c r="G10" s="15">
        <f>IFERROR(__xludf.DUMMYFUNCTION("IF(COUNTIF(IMPORTRANGE(""https://docs.google.com/spreadsheets/d/1xytwrrnzAdDwj8WFj5u6b5L5uYRsNheZVC4UcGqUzKQ/edit"", ""'Full Time Load'!B:B""), ""*"" &amp; MID(A10, 2, FIND(""]"", A10) - 2) &amp; ""*"") &gt; 0, 1, 0)"),0.0)</f>
        <v>0</v>
      </c>
    </row>
    <row r="11" ht="15.75" customHeight="1">
      <c r="A11" s="15" t="str">
        <f>IFERROR(__xludf.DUMMYFUNCTION("""COMPUTED_VALUE"""),"[AMS] Adnan Amin Siddiquee")</f>
        <v>[AMS] Adnan Amin Siddiquee</v>
      </c>
      <c r="B11" s="15">
        <f t="shared" si="1"/>
        <v>0</v>
      </c>
      <c r="C11" s="15" t="str">
        <f>IFERROR(__xludf.DUMMYFUNCTION(" QUERY(IMPORTRANGE(""https://docs.google.com/spreadsheets/d/1xytwrrnzAdDwj8WFj5u6b5L5uYRsNheZVC4UcGqUzKQ/edit?gid=1891914664#gid=1891914664"", ""Faculty-wise All!A2:D""), ""SELECT Col4 WHERE Col1 = '"" &amp;A11 &amp;""'"")"),"#REF!")</f>
        <v>#REF!</v>
      </c>
      <c r="D11" s="15"/>
      <c r="E11" s="26" t="str">
        <f t="shared" si="2"/>
        <v>#REF!</v>
      </c>
      <c r="F11" s="32" t="str">
        <f t="shared" si="3"/>
        <v>#REF!</v>
      </c>
      <c r="G11" s="15">
        <f>IFERROR(__xludf.DUMMYFUNCTION("IF(COUNTIF(IMPORTRANGE(""https://docs.google.com/spreadsheets/d/1xytwrrnzAdDwj8WFj5u6b5L5uYRsNheZVC4UcGqUzKQ/edit"", ""'Full Time Load'!B:B""), ""*"" &amp; MID(A11, 2, FIND(""]"", A11) - 2) &amp; ""*"") &gt; 0, 1, 0)"),0.0)</f>
        <v>0</v>
      </c>
    </row>
    <row r="12" ht="15.75" customHeight="1">
      <c r="A12" s="15" t="str">
        <f>IFERROR(__xludf.DUMMYFUNCTION("""COMPUTED_VALUE"""),"[ANAR] Anika Rahman")</f>
        <v>[ANAR] Anika Rahman</v>
      </c>
      <c r="B12" s="15">
        <f t="shared" si="1"/>
        <v>0</v>
      </c>
      <c r="C12" s="15" t="str">
        <f>IFERROR(__xludf.DUMMYFUNCTION(" QUERY(IMPORTRANGE(""https://docs.google.com/spreadsheets/d/1xytwrrnzAdDwj8WFj5u6b5L5uYRsNheZVC4UcGqUzKQ/edit?gid=1891914664#gid=1891914664"", ""Faculty-wise All!A2:D""), ""SELECT Col4 WHERE Col1 = '"" &amp;A12 &amp;""'"")"),"#REF!")</f>
        <v>#REF!</v>
      </c>
      <c r="D12" s="15"/>
      <c r="E12" s="26" t="str">
        <f t="shared" si="2"/>
        <v>#REF!</v>
      </c>
      <c r="F12" s="32" t="str">
        <f t="shared" si="3"/>
        <v>#REF!</v>
      </c>
      <c r="G12" s="15">
        <f>IFERROR(__xludf.DUMMYFUNCTION("IF(COUNTIF(IMPORTRANGE(""https://docs.google.com/spreadsheets/d/1xytwrrnzAdDwj8WFj5u6b5L5uYRsNheZVC4UcGqUzKQ/edit"", ""'Full Time Load'!B:B""), ""*"" &amp; MID(A12, 2, FIND(""]"", A12) - 2) &amp; ""*"") &gt; 0, 1, 0)"),0.0)</f>
        <v>0</v>
      </c>
    </row>
    <row r="13" ht="15.75" customHeight="1">
      <c r="A13" s="15" t="str">
        <f>IFERROR(__xludf.DUMMYFUNCTION("""COMPUTED_VALUE"""),"[ANMM] A N M Zahid Hossain Milkan")</f>
        <v>[ANMM] A N M Zahid Hossain Milkan</v>
      </c>
      <c r="B13" s="15">
        <f t="shared" si="1"/>
        <v>0</v>
      </c>
      <c r="C13" s="15" t="str">
        <f>IFERROR(__xludf.DUMMYFUNCTION(" QUERY(IMPORTRANGE(""https://docs.google.com/spreadsheets/d/1xytwrrnzAdDwj8WFj5u6b5L5uYRsNheZVC4UcGqUzKQ/edit?gid=1891914664#gid=1891914664"", ""Faculty-wise All!A2:D""), ""SELECT Col4 WHERE Col1 = '"" &amp;A13 &amp;""'"")"),"#REF!")</f>
        <v>#REF!</v>
      </c>
      <c r="D13" s="15"/>
      <c r="E13" s="26" t="str">
        <f t="shared" si="2"/>
        <v>#REF!</v>
      </c>
      <c r="F13" s="32" t="str">
        <f t="shared" si="3"/>
        <v>#REF!</v>
      </c>
      <c r="G13" s="15">
        <f>IFERROR(__xludf.DUMMYFUNCTION("IF(COUNTIF(IMPORTRANGE(""https://docs.google.com/spreadsheets/d/1xytwrrnzAdDwj8WFj5u6b5L5uYRsNheZVC4UcGqUzKQ/edit"", ""'Full Time Load'!B:B""), ""*"" &amp; MID(A13, 2, FIND(""]"", A13) - 2) &amp; ""*"") &gt; 0, 1, 0)"),0.0)</f>
        <v>0</v>
      </c>
    </row>
    <row r="14" ht="15.75" customHeight="1">
      <c r="A14" s="15" t="str">
        <f>IFERROR(__xludf.DUMMYFUNCTION("""COMPUTED_VALUE"""),"[ANMS] Anik Mahmud Shanto")</f>
        <v>[ANMS] Anik Mahmud Shanto</v>
      </c>
      <c r="B14" s="15">
        <f t="shared" si="1"/>
        <v>0</v>
      </c>
      <c r="C14" s="15" t="str">
        <f>IFERROR(__xludf.DUMMYFUNCTION(" QUERY(IMPORTRANGE(""https://docs.google.com/spreadsheets/d/1xytwrrnzAdDwj8WFj5u6b5L5uYRsNheZVC4UcGqUzKQ/edit?gid=1891914664#gid=1891914664"", ""Faculty-wise All!A2:D""), ""SELECT Col4 WHERE Col1 = '"" &amp;A14 &amp;""'"")"),"#REF!")</f>
        <v>#REF!</v>
      </c>
      <c r="D14" s="15"/>
      <c r="E14" s="26" t="str">
        <f t="shared" si="2"/>
        <v>#REF!</v>
      </c>
      <c r="F14" s="32" t="str">
        <f t="shared" si="3"/>
        <v>#REF!</v>
      </c>
      <c r="G14" s="15">
        <f>IFERROR(__xludf.DUMMYFUNCTION("IF(COUNTIF(IMPORTRANGE(""https://docs.google.com/spreadsheets/d/1xytwrrnzAdDwj8WFj5u6b5L5uYRsNheZVC4UcGqUzKQ/edit"", ""'Full Time Load'!B:B""), ""*"" &amp; MID(A14, 2, FIND(""]"", A14) - 2) &amp; ""*"") &gt; 0, 1, 0)"),0.0)</f>
        <v>0</v>
      </c>
    </row>
    <row r="15" ht="15.75" customHeight="1">
      <c r="A15" s="15" t="str">
        <f>IFERROR(__xludf.DUMMYFUNCTION("""COMPUTED_VALUE"""),"[AP] Md. Anower Perves")</f>
        <v>[AP] Md. Anower Perves</v>
      </c>
      <c r="B15" s="15">
        <f t="shared" si="1"/>
        <v>0</v>
      </c>
      <c r="C15" s="15" t="str">
        <f>IFERROR(__xludf.DUMMYFUNCTION(" QUERY(IMPORTRANGE(""https://docs.google.com/spreadsheets/d/1xytwrrnzAdDwj8WFj5u6b5L5uYRsNheZVC4UcGqUzKQ/edit?gid=1891914664#gid=1891914664"", ""Faculty-wise All!A2:D""), ""SELECT Col4 WHERE Col1 = '"" &amp;A15 &amp;""'"")"),"#REF!")</f>
        <v>#REF!</v>
      </c>
      <c r="D15" s="15"/>
      <c r="E15" s="26" t="str">
        <f t="shared" si="2"/>
        <v>#REF!</v>
      </c>
      <c r="F15" s="32" t="str">
        <f t="shared" si="3"/>
        <v>#REF!</v>
      </c>
      <c r="G15" s="15">
        <f>IFERROR(__xludf.DUMMYFUNCTION("IF(COUNTIF(IMPORTRANGE(""https://docs.google.com/spreadsheets/d/1xytwrrnzAdDwj8WFj5u6b5L5uYRsNheZVC4UcGqUzKQ/edit"", ""'Full Time Load'!B:B""), ""*"" &amp; MID(A15, 2, FIND(""]"", A15) - 2) &amp; ""*"") &gt; 0, 1, 0)"),0.0)</f>
        <v>0</v>
      </c>
    </row>
    <row r="16" ht="15.75" customHeight="1">
      <c r="A16" s="15" t="str">
        <f>IFERROR(__xludf.DUMMYFUNCTION("""COMPUTED_VALUE"""),"[APZ] Anwar Parvez")</f>
        <v>[APZ] Anwar Parvez</v>
      </c>
      <c r="B16" s="15">
        <f t="shared" si="1"/>
        <v>0</v>
      </c>
      <c r="C16" s="15" t="str">
        <f>IFERROR(__xludf.DUMMYFUNCTION(" QUERY(IMPORTRANGE(""https://docs.google.com/spreadsheets/d/1xytwrrnzAdDwj8WFj5u6b5L5uYRsNheZVC4UcGqUzKQ/edit?gid=1891914664#gid=1891914664"", ""Faculty-wise All!A2:D""), ""SELECT Col4 WHERE Col1 = '"" &amp;A16 &amp;""'"")"),"#REF!")</f>
        <v>#REF!</v>
      </c>
      <c r="D16" s="15"/>
      <c r="E16" s="26" t="str">
        <f t="shared" si="2"/>
        <v>#REF!</v>
      </c>
      <c r="F16" s="32" t="str">
        <f t="shared" si="3"/>
        <v>#REF!</v>
      </c>
      <c r="G16" s="15">
        <f>IFERROR(__xludf.DUMMYFUNCTION("IF(COUNTIF(IMPORTRANGE(""https://docs.google.com/spreadsheets/d/1xytwrrnzAdDwj8WFj5u6b5L5uYRsNheZVC4UcGqUzKQ/edit"", ""'Full Time Load'!B:B""), ""*"" &amp; MID(A16, 2, FIND(""]"", A16) - 2) &amp; ""*"") &gt; 0, 1, 0)"),0.0)</f>
        <v>0</v>
      </c>
    </row>
    <row r="17" ht="15.75" customHeight="1">
      <c r="A17" s="15" t="str">
        <f>IFERROR(__xludf.DUMMYFUNCTION("""COMPUTED_VALUE"""),"[ASH] Ahnaf Shahriyar")</f>
        <v>[ASH] Ahnaf Shahriyar</v>
      </c>
      <c r="B17" s="15">
        <f t="shared" si="1"/>
        <v>0</v>
      </c>
      <c r="C17" s="15" t="str">
        <f>IFERROR(__xludf.DUMMYFUNCTION(" QUERY(IMPORTRANGE(""https://docs.google.com/spreadsheets/d/1xytwrrnzAdDwj8WFj5u6b5L5uYRsNheZVC4UcGqUzKQ/edit?gid=1891914664#gid=1891914664"", ""Faculty-wise All!A2:D""), ""SELECT Col4 WHERE Col1 = '"" &amp;A17 &amp;""'"")"),"#REF!")</f>
        <v>#REF!</v>
      </c>
      <c r="D17" s="15"/>
      <c r="E17" s="26" t="str">
        <f t="shared" si="2"/>
        <v>#REF!</v>
      </c>
      <c r="F17" s="32" t="str">
        <f t="shared" si="3"/>
        <v>#REF!</v>
      </c>
      <c r="G17" s="15">
        <f>IFERROR(__xludf.DUMMYFUNCTION("IF(COUNTIF(IMPORTRANGE(""https://docs.google.com/spreadsheets/d/1xytwrrnzAdDwj8WFj5u6b5L5uYRsNheZVC4UcGqUzKQ/edit"", ""'Full Time Load'!B:B""), ""*"" &amp; MID(A17, 2, FIND(""]"", A17) - 2) &amp; ""*"") &gt; 0, 1, 0)"),0.0)</f>
        <v>0</v>
      </c>
    </row>
    <row r="18" ht="15.75" customHeight="1">
      <c r="A18" s="15" t="str">
        <f>IFERROR(__xludf.DUMMYFUNCTION("""COMPUTED_VALUE"""),"[ASHI] Mohammad Ashraful Islam")</f>
        <v>[ASHI] Mohammad Ashraful Islam</v>
      </c>
      <c r="B18" s="15">
        <f t="shared" si="1"/>
        <v>0</v>
      </c>
      <c r="C18" s="15" t="str">
        <f>IFERROR(__xludf.DUMMYFUNCTION(" QUERY(IMPORTRANGE(""https://docs.google.com/spreadsheets/d/1xytwrrnzAdDwj8WFj5u6b5L5uYRsNheZVC4UcGqUzKQ/edit?gid=1891914664#gid=1891914664"", ""Faculty-wise All!A2:D""), ""SELECT Col4 WHERE Col1 = '"" &amp;A18 &amp;""'"")"),"#REF!")</f>
        <v>#REF!</v>
      </c>
      <c r="D18" s="15"/>
      <c r="E18" s="26" t="str">
        <f t="shared" si="2"/>
        <v>#REF!</v>
      </c>
      <c r="F18" s="32" t="str">
        <f t="shared" si="3"/>
        <v>#REF!</v>
      </c>
      <c r="G18" s="15">
        <f>IFERROR(__xludf.DUMMYFUNCTION("IF(COUNTIF(IMPORTRANGE(""https://docs.google.com/spreadsheets/d/1xytwrrnzAdDwj8WFj5u6b5L5uYRsNheZVC4UcGqUzKQ/edit"", ""'Full Time Load'!B:B""), ""*"" &amp; MID(A18, 2, FIND(""]"", A18) - 2) &amp; ""*"") &gt; 0, 1, 0)"),0.0)</f>
        <v>0</v>
      </c>
    </row>
    <row r="19" ht="15.75" customHeight="1">
      <c r="A19" s="15" t="str">
        <f>IFERROR(__xludf.DUMMYFUNCTION("""COMPUTED_VALUE"""),"[ASM] Anika Shormily Meem")</f>
        <v>[ASM] Anika Shormily Meem</v>
      </c>
      <c r="B19" s="15">
        <f t="shared" si="1"/>
        <v>0</v>
      </c>
      <c r="C19" s="15" t="str">
        <f>IFERROR(__xludf.DUMMYFUNCTION(" QUERY(IMPORTRANGE(""https://docs.google.com/spreadsheets/d/1xytwrrnzAdDwj8WFj5u6b5L5uYRsNheZVC4UcGqUzKQ/edit?gid=1891914664#gid=1891914664"", ""Faculty-wise All!A2:D""), ""SELECT Col4 WHERE Col1 = '"" &amp;A19 &amp;""'"")"),"#REF!")</f>
        <v>#REF!</v>
      </c>
      <c r="D19" s="15"/>
      <c r="E19" s="26" t="str">
        <f t="shared" si="2"/>
        <v>#REF!</v>
      </c>
      <c r="F19" s="32" t="str">
        <f t="shared" si="3"/>
        <v>#REF!</v>
      </c>
      <c r="G19" s="15">
        <f>IFERROR(__xludf.DUMMYFUNCTION("IF(COUNTIF(IMPORTRANGE(""https://docs.google.com/spreadsheets/d/1xytwrrnzAdDwj8WFj5u6b5L5uYRsNheZVC4UcGqUzKQ/edit"", ""'Full Time Load'!B:B""), ""*"" &amp; MID(A19, 2, FIND(""]"", A19) - 2) &amp; ""*"") &gt; 0, 1, 0)"),0.0)</f>
        <v>0</v>
      </c>
    </row>
    <row r="20" ht="15.75" customHeight="1">
      <c r="A20" s="15" t="str">
        <f>IFERROR(__xludf.DUMMYFUNCTION("""COMPUTED_VALUE"""),"[ASNA] Abu Sayeed Nooruddin Ahmed")</f>
        <v>[ASNA] Abu Sayeed Nooruddin Ahmed</v>
      </c>
      <c r="B20" s="15">
        <f t="shared" si="1"/>
        <v>0</v>
      </c>
      <c r="C20" s="15" t="str">
        <f>IFERROR(__xludf.DUMMYFUNCTION(" QUERY(IMPORTRANGE(""https://docs.google.com/spreadsheets/d/1xytwrrnzAdDwj8WFj5u6b5L5uYRsNheZVC4UcGqUzKQ/edit?gid=1891914664#gid=1891914664"", ""Faculty-wise All!A2:D""), ""SELECT Col4 WHERE Col1 = '"" &amp;A20 &amp;""'"")"),"#REF!")</f>
        <v>#REF!</v>
      </c>
      <c r="D20" s="15"/>
      <c r="E20" s="26" t="str">
        <f t="shared" si="2"/>
        <v>#REF!</v>
      </c>
      <c r="F20" s="32" t="str">
        <f t="shared" si="3"/>
        <v>#REF!</v>
      </c>
      <c r="G20" s="15">
        <f>IFERROR(__xludf.DUMMYFUNCTION("IF(COUNTIF(IMPORTRANGE(""https://docs.google.com/spreadsheets/d/1xytwrrnzAdDwj8WFj5u6b5L5uYRsNheZVC4UcGqUzKQ/edit"", ""'Full Time Load'!B:B""), ""*"" &amp; MID(A20, 2, FIND(""]"", A20) - 2) &amp; ""*"") &gt; 0, 1, 0)"),0.0)</f>
        <v>0</v>
      </c>
    </row>
    <row r="21" ht="15.75" customHeight="1">
      <c r="A21" s="15" t="str">
        <f>IFERROR(__xludf.DUMMYFUNCTION("""COMPUTED_VALUE"""),"[BAR] Borhan Ul Arif")</f>
        <v>[BAR] Borhan Ul Arif</v>
      </c>
      <c r="B21" s="15">
        <f t="shared" si="1"/>
        <v>0</v>
      </c>
      <c r="C21" s="15" t="str">
        <f>IFERROR(__xludf.DUMMYFUNCTION(" QUERY(IMPORTRANGE(""https://docs.google.com/spreadsheets/d/1xytwrrnzAdDwj8WFj5u6b5L5uYRsNheZVC4UcGqUzKQ/edit?gid=1891914664#gid=1891914664"", ""Faculty-wise All!A2:D""), ""SELECT Col4 WHERE Col1 = '"" &amp;A21 &amp;""'"")"),"#REF!")</f>
        <v>#REF!</v>
      </c>
      <c r="D21" s="15"/>
      <c r="E21" s="26" t="str">
        <f t="shared" si="2"/>
        <v>#REF!</v>
      </c>
      <c r="F21" s="32" t="str">
        <f t="shared" si="3"/>
        <v>#REF!</v>
      </c>
      <c r="G21" s="15">
        <f>IFERROR(__xludf.DUMMYFUNCTION("IF(COUNTIF(IMPORTRANGE(""https://docs.google.com/spreadsheets/d/1xytwrrnzAdDwj8WFj5u6b5L5uYRsNheZVC4UcGqUzKQ/edit"", ""'Full Time Load'!B:B""), ""*"" &amp; MID(A21, 2, FIND(""]"", A21) - 2) &amp; ""*"") &gt; 0, 1, 0)"),0.0)</f>
        <v>0</v>
      </c>
    </row>
    <row r="22" ht="15.75" customHeight="1">
      <c r="A22" s="15" t="str">
        <f>IFERROR(__xludf.DUMMYFUNCTION("""COMPUTED_VALUE"""),"[BBA] Bulbul Ahmed")</f>
        <v>[BBA] Bulbul Ahmed</v>
      </c>
      <c r="B22" s="15">
        <f t="shared" si="1"/>
        <v>0</v>
      </c>
      <c r="C22" s="15" t="str">
        <f>IFERROR(__xludf.DUMMYFUNCTION(" QUERY(IMPORTRANGE(""https://docs.google.com/spreadsheets/d/1xytwrrnzAdDwj8WFj5u6b5L5uYRsNheZVC4UcGqUzKQ/edit?gid=1891914664#gid=1891914664"", ""Faculty-wise All!A2:D""), ""SELECT Col4 WHERE Col1 = '"" &amp;A22 &amp;""'"")"),"#REF!")</f>
        <v>#REF!</v>
      </c>
      <c r="D22" s="15"/>
      <c r="E22" s="26" t="str">
        <f t="shared" si="2"/>
        <v>#REF!</v>
      </c>
      <c r="F22" s="32" t="str">
        <f t="shared" si="3"/>
        <v>#REF!</v>
      </c>
      <c r="G22" s="15">
        <f>IFERROR(__xludf.DUMMYFUNCTION("IF(COUNTIF(IMPORTRANGE(""https://docs.google.com/spreadsheets/d/1xytwrrnzAdDwj8WFj5u6b5L5uYRsNheZVC4UcGqUzKQ/edit"", ""'Full Time Load'!B:B""), ""*"" &amp; MID(A22, 2, FIND(""]"", A22) - 2) &amp; ""*"") &gt; 0, 1, 0)"),0.0)</f>
        <v>0</v>
      </c>
    </row>
    <row r="23" ht="15.75" customHeight="1">
      <c r="A23" s="15" t="str">
        <f>IFERROR(__xludf.DUMMYFUNCTION("""COMPUTED_VALUE"""),"[BIPA] Bidyarthi Paul")</f>
        <v>[BIPA] Bidyarthi Paul</v>
      </c>
      <c r="B23" s="15">
        <f t="shared" si="1"/>
        <v>0</v>
      </c>
      <c r="C23" s="15" t="str">
        <f>IFERROR(__xludf.DUMMYFUNCTION(" QUERY(IMPORTRANGE(""https://docs.google.com/spreadsheets/d/1xytwrrnzAdDwj8WFj5u6b5L5uYRsNheZVC4UcGqUzKQ/edit?gid=1891914664#gid=1891914664"", ""Faculty-wise All!A2:D""), ""SELECT Col4 WHERE Col1 = '"" &amp;A23 &amp;""'"")"),"#REF!")</f>
        <v>#REF!</v>
      </c>
      <c r="D23" s="15"/>
      <c r="E23" s="26" t="str">
        <f t="shared" si="2"/>
        <v>#REF!</v>
      </c>
      <c r="F23" s="32" t="str">
        <f t="shared" si="3"/>
        <v>#REF!</v>
      </c>
      <c r="G23" s="15">
        <f>IFERROR(__xludf.DUMMYFUNCTION("IF(COUNTIF(IMPORTRANGE(""https://docs.google.com/spreadsheets/d/1xytwrrnzAdDwj8WFj5u6b5L5uYRsNheZVC4UcGqUzKQ/edit"", ""'Full Time Load'!B:B""), ""*"" &amp; MID(A23, 2, FIND(""]"", A23) - 2) &amp; ""*"") &gt; 0, 1, 0)"),0.0)</f>
        <v>0</v>
      </c>
    </row>
    <row r="24" ht="15.75" customHeight="1">
      <c r="A24" s="15" t="str">
        <f>IFERROR(__xludf.DUMMYFUNCTION("""COMPUTED_VALUE"""),"[DAA] Dr. Al Amin Al Abbasi")</f>
        <v>[DAA] Dr. Al Amin Al Abbasi</v>
      </c>
      <c r="B24" s="15">
        <f t="shared" si="1"/>
        <v>0</v>
      </c>
      <c r="C24" s="15" t="str">
        <f>IFERROR(__xludf.DUMMYFUNCTION(" QUERY(IMPORTRANGE(""https://docs.google.com/spreadsheets/d/1xytwrrnzAdDwj8WFj5u6b5L5uYRsNheZVC4UcGqUzKQ/edit?gid=1891914664#gid=1891914664"", ""Faculty-wise All!A2:D""), ""SELECT Col4 WHERE Col1 = '"" &amp;A24 &amp;""'"")"),"#REF!")</f>
        <v>#REF!</v>
      </c>
      <c r="D24" s="15"/>
      <c r="E24" s="26" t="str">
        <f t="shared" si="2"/>
        <v>#REF!</v>
      </c>
      <c r="F24" s="32" t="str">
        <f t="shared" si="3"/>
        <v>#REF!</v>
      </c>
      <c r="G24" s="15">
        <f>IFERROR(__xludf.DUMMYFUNCTION("IF(COUNTIF(IMPORTRANGE(""https://docs.google.com/spreadsheets/d/1xytwrrnzAdDwj8WFj5u6b5L5uYRsNheZVC4UcGqUzKQ/edit"", ""'Full Time Load'!B:B""), ""*"" &amp; MID(A24, 2, FIND(""]"", A24) - 2) &amp; ""*"") &gt; 0, 1, 0)"),0.0)</f>
        <v>0</v>
      </c>
    </row>
    <row r="25" ht="15.75" customHeight="1">
      <c r="A25" s="15" t="str">
        <f>IFERROR(__xludf.DUMMYFUNCTION("""COMPUTED_VALUE"""),"[DAFN] Dewan Abul Fatah Naeem")</f>
        <v>[DAFN] Dewan Abul Fatah Naeem</v>
      </c>
      <c r="B25" s="15">
        <f t="shared" si="1"/>
        <v>0</v>
      </c>
      <c r="C25" s="15" t="str">
        <f>IFERROR(__xludf.DUMMYFUNCTION(" QUERY(IMPORTRANGE(""https://docs.google.com/spreadsheets/d/1xytwrrnzAdDwj8WFj5u6b5L5uYRsNheZVC4UcGqUzKQ/edit?gid=1891914664#gid=1891914664"", ""Faculty-wise All!A2:D""), ""SELECT Col4 WHERE Col1 = '"" &amp;A25 &amp;""'"")"),"#REF!")</f>
        <v>#REF!</v>
      </c>
      <c r="D25" s="15"/>
      <c r="E25" s="26" t="str">
        <f t="shared" si="2"/>
        <v>#REF!</v>
      </c>
      <c r="F25" s="32" t="str">
        <f t="shared" si="3"/>
        <v>#REF!</v>
      </c>
      <c r="G25" s="15">
        <f>IFERROR(__xludf.DUMMYFUNCTION("IF(COUNTIF(IMPORTRANGE(""https://docs.google.com/spreadsheets/d/1xytwrrnzAdDwj8WFj5u6b5L5uYRsNheZVC4UcGqUzKQ/edit"", ""'Full Time Load'!B:B""), ""*"" &amp; MID(A25, 2, FIND(""]"", A25) - 2) &amp; ""*"") &gt; 0, 1, 0)"),0.0)</f>
        <v>0</v>
      </c>
    </row>
    <row r="26" ht="15.75" customHeight="1">
      <c r="A26" s="15" t="str">
        <f>IFERROR(__xludf.DUMMYFUNCTION("""COMPUTED_VALUE"""),"[DAHO] Dr. Amran Hossain")</f>
        <v>[DAHO] Dr. Amran Hossain</v>
      </c>
      <c r="B26" s="15">
        <f t="shared" si="1"/>
        <v>0</v>
      </c>
      <c r="C26" s="15" t="str">
        <f>IFERROR(__xludf.DUMMYFUNCTION(" QUERY(IMPORTRANGE(""https://docs.google.com/spreadsheets/d/1xytwrrnzAdDwj8WFj5u6b5L5uYRsNheZVC4UcGqUzKQ/edit?gid=1891914664#gid=1891914664"", ""Faculty-wise All!A2:D""), ""SELECT Col4 WHERE Col1 = '"" &amp;A26 &amp;""'"")"),"#REF!")</f>
        <v>#REF!</v>
      </c>
      <c r="D26" s="15"/>
      <c r="E26" s="26" t="str">
        <f t="shared" si="2"/>
        <v>#REF!</v>
      </c>
      <c r="F26" s="32" t="str">
        <f t="shared" si="3"/>
        <v>#REF!</v>
      </c>
      <c r="G26" s="15">
        <f>IFERROR(__xludf.DUMMYFUNCTION("IF(COUNTIF(IMPORTRANGE(""https://docs.google.com/spreadsheets/d/1xytwrrnzAdDwj8WFj5u6b5L5uYRsNheZVC4UcGqUzKQ/edit"", ""'Full Time Load'!B:B""), ""*"" &amp; MID(A26, 2, FIND(""]"", A26) - 2) &amp; ""*"") &gt; 0, 1, 0)"),0.0)</f>
        <v>0</v>
      </c>
    </row>
    <row r="27" ht="15.75" customHeight="1">
      <c r="A27" s="15" t="str">
        <f>IFERROR(__xludf.DUMMYFUNCTION("""COMPUTED_VALUE"""),"[DAKM] Prof. Dr. Abdul Kadar Muhammad Masum")</f>
        <v>[DAKM] Prof. Dr. Abdul Kadar Muhammad Masum</v>
      </c>
      <c r="B27" s="15">
        <f t="shared" si="1"/>
        <v>0</v>
      </c>
      <c r="C27" s="15" t="str">
        <f>IFERROR(__xludf.DUMMYFUNCTION(" QUERY(IMPORTRANGE(""https://docs.google.com/spreadsheets/d/1xytwrrnzAdDwj8WFj5u6b5L5uYRsNheZVC4UcGqUzKQ/edit?gid=1891914664#gid=1891914664"", ""Faculty-wise All!A2:D""), ""SELECT Col4 WHERE Col1 = '"" &amp;A27 &amp;""'"")"),"#REF!")</f>
        <v>#REF!</v>
      </c>
      <c r="D27" s="15">
        <v>8.0</v>
      </c>
      <c r="E27" s="26" t="str">
        <f t="shared" si="2"/>
        <v>#REF!</v>
      </c>
      <c r="F27" s="32" t="str">
        <f t="shared" si="3"/>
        <v>#REF!</v>
      </c>
      <c r="G27" s="15">
        <f>IFERROR(__xludf.DUMMYFUNCTION("IF(COUNTIF(IMPORTRANGE(""https://docs.google.com/spreadsheets/d/1xytwrrnzAdDwj8WFj5u6b5L5uYRsNheZVC4UcGqUzKQ/edit"", ""'Full Time Load'!B:B""), ""*"" &amp; MID(A27, 2, FIND(""]"", A27) - 2) &amp; ""*"") &gt; 0, 1, 0)"),0.0)</f>
        <v>0</v>
      </c>
      <c r="H27" s="43" t="s">
        <v>378</v>
      </c>
    </row>
    <row r="28" ht="15.75" customHeight="1">
      <c r="A28" s="15" t="str">
        <f>IFERROR(__xludf.DUMMYFUNCTION("""COMPUTED_VALUE"""),"[DAM] Dr. Abdulla Al Momin")</f>
        <v>[DAM] Dr. Abdulla Al Momin</v>
      </c>
      <c r="B28" s="15">
        <f t="shared" si="1"/>
        <v>0</v>
      </c>
      <c r="C28" s="15" t="str">
        <f>IFERROR(__xludf.DUMMYFUNCTION(" QUERY(IMPORTRANGE(""https://docs.google.com/spreadsheets/d/1xytwrrnzAdDwj8WFj5u6b5L5uYRsNheZVC4UcGqUzKQ/edit?gid=1891914664#gid=1891914664"", ""Faculty-wise All!A2:D""), ""SELECT Col4 WHERE Col1 = '"" &amp;A28 &amp;""'"")"),"#REF!")</f>
        <v>#REF!</v>
      </c>
      <c r="D28" s="15"/>
      <c r="E28" s="26" t="str">
        <f t="shared" si="2"/>
        <v>#REF!</v>
      </c>
      <c r="F28" s="32" t="str">
        <f t="shared" si="3"/>
        <v>#REF!</v>
      </c>
      <c r="G28" s="15">
        <f>IFERROR(__xludf.DUMMYFUNCTION("IF(COUNTIF(IMPORTRANGE(""https://docs.google.com/spreadsheets/d/1xytwrrnzAdDwj8WFj5u6b5L5uYRsNheZVC4UcGqUzKQ/edit"", ""'Full Time Load'!B:B""), ""*"" &amp; MID(A28, 2, FIND(""]"", A28) - 2) &amp; ""*"") &gt; 0, 1, 0)"),0.0)</f>
        <v>0</v>
      </c>
    </row>
    <row r="29" ht="15.75" customHeight="1">
      <c r="A29" s="15" t="str">
        <f>IFERROR(__xludf.DUMMYFUNCTION("""COMPUTED_VALUE"""),"[DHA] Dr. Hasina Akther")</f>
        <v>[DHA] Dr. Hasina Akther</v>
      </c>
      <c r="B29" s="15">
        <f t="shared" si="1"/>
        <v>0</v>
      </c>
      <c r="C29" s="15" t="str">
        <f>IFERROR(__xludf.DUMMYFUNCTION(" QUERY(IMPORTRANGE(""https://docs.google.com/spreadsheets/d/1xytwrrnzAdDwj8WFj5u6b5L5uYRsNheZVC4UcGqUzKQ/edit?gid=1891914664#gid=1891914664"", ""Faculty-wise All!A2:D""), ""SELECT Col4 WHERE Col1 = '"" &amp;A29 &amp;""'"")"),"#REF!")</f>
        <v>#REF!</v>
      </c>
      <c r="D29" s="15"/>
      <c r="E29" s="26" t="str">
        <f t="shared" si="2"/>
        <v>#REF!</v>
      </c>
      <c r="F29" s="32" t="str">
        <f t="shared" si="3"/>
        <v>#REF!</v>
      </c>
      <c r="G29" s="15">
        <f>IFERROR(__xludf.DUMMYFUNCTION("IF(COUNTIF(IMPORTRANGE(""https://docs.google.com/spreadsheets/d/1xytwrrnzAdDwj8WFj5u6b5L5uYRsNheZVC4UcGqUzKQ/edit"", ""'Full Time Load'!B:B""), ""*"" &amp; MID(A29, 2, FIND(""]"", A29) - 2) &amp; ""*"") &gt; 0, 1, 0)"),0.0)</f>
        <v>0</v>
      </c>
    </row>
    <row r="30" ht="15.75" customHeight="1">
      <c r="A30" s="15" t="str">
        <f>IFERROR(__xludf.DUMMYFUNCTION("""COMPUTED_VALUE"""),"[DLH] Dr. Mohammad Lutful Hakim")</f>
        <v>[DLH] Dr. Mohammad Lutful Hakim</v>
      </c>
      <c r="B30" s="15">
        <f t="shared" si="1"/>
        <v>0</v>
      </c>
      <c r="C30" s="15" t="str">
        <f>IFERROR(__xludf.DUMMYFUNCTION(" QUERY(IMPORTRANGE(""https://docs.google.com/spreadsheets/d/1xytwrrnzAdDwj8WFj5u6b5L5uYRsNheZVC4UcGqUzKQ/edit?gid=1891914664#gid=1891914664"", ""Faculty-wise All!A2:D""), ""SELECT Col4 WHERE Col1 = '"" &amp;A30 &amp;""'"")"),"#REF!")</f>
        <v>#REF!</v>
      </c>
      <c r="D30" s="15"/>
      <c r="E30" s="26" t="str">
        <f t="shared" si="2"/>
        <v>#REF!</v>
      </c>
      <c r="F30" s="32" t="str">
        <f t="shared" si="3"/>
        <v>#REF!</v>
      </c>
      <c r="G30" s="15">
        <f>IFERROR(__xludf.DUMMYFUNCTION("IF(COUNTIF(IMPORTRANGE(""https://docs.google.com/spreadsheets/d/1xytwrrnzAdDwj8WFj5u6b5L5uYRsNheZVC4UcGqUzKQ/edit"", ""'Full Time Load'!B:B""), ""*"" &amp; MID(A30, 2, FIND(""]"", A30) - 2) &amp; ""*"") &gt; 0, 1, 0)"),0.0)</f>
        <v>0</v>
      </c>
    </row>
    <row r="31" ht="15.75" customHeight="1">
      <c r="A31" s="15" t="str">
        <f>IFERROR(__xludf.DUMMYFUNCTION("""COMPUTED_VALUE"""),"[DMAA] Dr. Md. Ayub Ali")</f>
        <v>[DMAA] Dr. Md. Ayub Ali</v>
      </c>
      <c r="B31" s="15">
        <f t="shared" si="1"/>
        <v>0</v>
      </c>
      <c r="C31" s="15" t="str">
        <f>IFERROR(__xludf.DUMMYFUNCTION(" QUERY(IMPORTRANGE(""https://docs.google.com/spreadsheets/d/1xytwrrnzAdDwj8WFj5u6b5L5uYRsNheZVC4UcGqUzKQ/edit?gid=1891914664#gid=1891914664"", ""Faculty-wise All!A2:D""), ""SELECT Col4 WHERE Col1 = '"" &amp;A31 &amp;""'"")"),"#REF!")</f>
        <v>#REF!</v>
      </c>
      <c r="D31" s="15"/>
      <c r="E31" s="26" t="str">
        <f t="shared" si="2"/>
        <v>#REF!</v>
      </c>
      <c r="F31" s="32" t="str">
        <f t="shared" si="3"/>
        <v>#REF!</v>
      </c>
      <c r="G31" s="15">
        <f>IFERROR(__xludf.DUMMYFUNCTION("IF(COUNTIF(IMPORTRANGE(""https://docs.google.com/spreadsheets/d/1xytwrrnzAdDwj8WFj5u6b5L5uYRsNheZVC4UcGqUzKQ/edit"", ""'Full Time Load'!B:B""), ""*"" &amp; MID(A31, 2, FIND(""]"", A31) - 2) &amp; ""*"") &gt; 0, 1, 0)"),0.0)</f>
        <v>0</v>
      </c>
    </row>
    <row r="32" ht="15.75" customHeight="1">
      <c r="A32" s="15" t="str">
        <f>IFERROR(__xludf.DUMMYFUNCTION("""COMPUTED_VALUE"""),"[DMAZ] Dr. Md. Azizar Rahman")</f>
        <v>[DMAZ] Dr. Md. Azizar Rahman</v>
      </c>
      <c r="B32" s="15">
        <f t="shared" si="1"/>
        <v>0</v>
      </c>
      <c r="C32" s="15" t="str">
        <f>IFERROR(__xludf.DUMMYFUNCTION(" QUERY(IMPORTRANGE(""https://docs.google.com/spreadsheets/d/1xytwrrnzAdDwj8WFj5u6b5L5uYRsNheZVC4UcGqUzKQ/edit?gid=1891914664#gid=1891914664"", ""Faculty-wise All!A2:D""), ""SELECT Col4 WHERE Col1 = '"" &amp;A32 &amp;""'"")"),"#REF!")</f>
        <v>#REF!</v>
      </c>
      <c r="D32" s="15"/>
      <c r="E32" s="26" t="str">
        <f t="shared" si="2"/>
        <v>#REF!</v>
      </c>
      <c r="F32" s="32" t="str">
        <f t="shared" si="3"/>
        <v>#REF!</v>
      </c>
      <c r="G32" s="15">
        <f>IFERROR(__xludf.DUMMYFUNCTION("IF(COUNTIF(IMPORTRANGE(""https://docs.google.com/spreadsheets/d/1xytwrrnzAdDwj8WFj5u6b5L5uYRsNheZVC4UcGqUzKQ/edit"", ""'Full Time Load'!B:B""), ""*"" &amp; MID(A32, 2, FIND(""]"", A32) - 2) &amp; ""*"") &gt; 0, 1, 0)"),0.0)</f>
        <v>0</v>
      </c>
    </row>
    <row r="33" ht="15.75" customHeight="1">
      <c r="A33" s="15" t="str">
        <f>IFERROR(__xludf.DUMMYFUNCTION("""COMPUTED_VALUE"""),"[DMHN] Dr. Md. Maruf Hassan")</f>
        <v>[DMHN] Dr. Md. Maruf Hassan</v>
      </c>
      <c r="B33" s="15">
        <f t="shared" si="1"/>
        <v>0</v>
      </c>
      <c r="C33" s="15" t="str">
        <f>IFERROR(__xludf.DUMMYFUNCTION(" QUERY(IMPORTRANGE(""https://docs.google.com/spreadsheets/d/1xytwrrnzAdDwj8WFj5u6b5L5uYRsNheZVC4UcGqUzKQ/edit?gid=1891914664#gid=1891914664"", ""Faculty-wise All!A2:D""), ""SELECT Col4 WHERE Col1 = '"" &amp;A33 &amp;""'"")"),"#REF!")</f>
        <v>#REF!</v>
      </c>
      <c r="D33" s="15">
        <v>4.0</v>
      </c>
      <c r="E33" s="26" t="str">
        <f t="shared" si="2"/>
        <v>#REF!</v>
      </c>
      <c r="F33" s="32" t="str">
        <f t="shared" si="3"/>
        <v>#REF!</v>
      </c>
      <c r="G33" s="15">
        <f>IFERROR(__xludf.DUMMYFUNCTION("IF(COUNTIF(IMPORTRANGE(""https://docs.google.com/spreadsheets/d/1xytwrrnzAdDwj8WFj5u6b5L5uYRsNheZVC4UcGqUzKQ/edit"", ""'Full Time Load'!B:B""), ""*"" &amp; MID(A33, 2, FIND(""]"", A33) - 2) &amp; ""*"") &gt; 0, 1, 0)"),0.0)</f>
        <v>0</v>
      </c>
      <c r="H33" s="43" t="s">
        <v>442</v>
      </c>
    </row>
    <row r="34" ht="15.75" customHeight="1">
      <c r="A34" s="15" t="str">
        <f>IFERROR(__xludf.DUMMYFUNCTION("""COMPUTED_VALUE"""),"[DMMA] Dr. Md. Murad Ahmed")</f>
        <v>[DMMA] Dr. Md. Murad Ahmed</v>
      </c>
      <c r="B34" s="15">
        <f t="shared" si="1"/>
        <v>0</v>
      </c>
      <c r="C34" s="15" t="str">
        <f>IFERROR(__xludf.DUMMYFUNCTION(" QUERY(IMPORTRANGE(""https://docs.google.com/spreadsheets/d/1xytwrrnzAdDwj8WFj5u6b5L5uYRsNheZVC4UcGqUzKQ/edit?gid=1891914664#gid=1891914664"", ""Faculty-wise All!A2:D""), ""SELECT Col4 WHERE Col1 = '"" &amp;A34 &amp;""'"")"),"#REF!")</f>
        <v>#REF!</v>
      </c>
      <c r="D34" s="15"/>
      <c r="E34" s="26" t="str">
        <f t="shared" si="2"/>
        <v>#REF!</v>
      </c>
      <c r="F34" s="32" t="str">
        <f t="shared" si="3"/>
        <v>#REF!</v>
      </c>
      <c r="G34" s="15">
        <f>IFERROR(__xludf.DUMMYFUNCTION("IF(COUNTIF(IMPORTRANGE(""https://docs.google.com/spreadsheets/d/1xytwrrnzAdDwj8WFj5u6b5L5uYRsNheZVC4UcGqUzKQ/edit"", ""'Full Time Load'!B:B""), ""*"" &amp; MID(A34, 2, FIND(""]"", A34) - 2) &amp; ""*"") &gt; 0, 1, 0)"),0.0)</f>
        <v>0</v>
      </c>
    </row>
    <row r="35" ht="15.75" customHeight="1">
      <c r="A35" s="15" t="str">
        <f>IFERROR(__xludf.DUMMYFUNCTION("""COMPUTED_VALUE"""),"[DMMB] Dr. Md. Masum Billah")</f>
        <v>[DMMB] Dr. Md. Masum Billah</v>
      </c>
      <c r="B35" s="15">
        <f t="shared" si="1"/>
        <v>0</v>
      </c>
      <c r="C35" s="15" t="str">
        <f>IFERROR(__xludf.DUMMYFUNCTION(" QUERY(IMPORTRANGE(""https://docs.google.com/spreadsheets/d/1xytwrrnzAdDwj8WFj5u6b5L5uYRsNheZVC4UcGqUzKQ/edit?gid=1891914664#gid=1891914664"", ""Faculty-wise All!A2:D""), ""SELECT Col4 WHERE Col1 = '"" &amp;A35 &amp;""'"")"),"#REF!")</f>
        <v>#REF!</v>
      </c>
      <c r="D35" s="15"/>
      <c r="E35" s="26" t="str">
        <f t="shared" si="2"/>
        <v>#REF!</v>
      </c>
      <c r="F35" s="32" t="str">
        <f t="shared" si="3"/>
        <v>#REF!</v>
      </c>
      <c r="G35" s="15">
        <f>IFERROR(__xludf.DUMMYFUNCTION("IF(COUNTIF(IMPORTRANGE(""https://docs.google.com/spreadsheets/d/1xytwrrnzAdDwj8WFj5u6b5L5uYRsNheZVC4UcGqUzKQ/edit"", ""'Full Time Load'!B:B""), ""*"" &amp; MID(A35, 2, FIND(""]"", A35) - 2) &amp; ""*"") &gt; 0, 1, 0)"),0.0)</f>
        <v>0</v>
      </c>
    </row>
    <row r="36" ht="15.75" customHeight="1">
      <c r="A36" s="15" t="str">
        <f>IFERROR(__xludf.DUMMYFUNCTION("""COMPUTED_VALUE"""),"[DMOS] Dr. Mohammad Shafiul Alam")</f>
        <v>[DMOS] Dr. Mohammad Shafiul Alam</v>
      </c>
      <c r="B36" s="15">
        <f t="shared" si="1"/>
        <v>0</v>
      </c>
      <c r="C36" s="15" t="str">
        <f>IFERROR(__xludf.DUMMYFUNCTION(" QUERY(IMPORTRANGE(""https://docs.google.com/spreadsheets/d/1xytwrrnzAdDwj8WFj5u6b5L5uYRsNheZVC4UcGqUzKQ/edit?gid=1891914664#gid=1891914664"", ""Faculty-wise All!A2:D""), ""SELECT Col4 WHERE Col1 = '"" &amp;A36 &amp;""'"")"),"#REF!")</f>
        <v>#REF!</v>
      </c>
      <c r="D36" s="15"/>
      <c r="E36" s="26" t="str">
        <f t="shared" si="2"/>
        <v>#REF!</v>
      </c>
      <c r="F36" s="32" t="str">
        <f t="shared" si="3"/>
        <v>#REF!</v>
      </c>
      <c r="G36" s="15">
        <f>IFERROR(__xludf.DUMMYFUNCTION("IF(COUNTIF(IMPORTRANGE(""https://docs.google.com/spreadsheets/d/1xytwrrnzAdDwj8WFj5u6b5L5uYRsNheZVC4UcGqUzKQ/edit"", ""'Full Time Load'!B:B""), ""*"" &amp; MID(A36, 2, FIND(""]"", A36) - 2) &amp; ""*"") &gt; 0, 1, 0)"),0.0)</f>
        <v>0</v>
      </c>
    </row>
    <row r="37" ht="15.75" customHeight="1">
      <c r="A37" s="15" t="str">
        <f>IFERROR(__xludf.DUMMYFUNCTION("""COMPUTED_VALUE"""),"[DMRS] Dr. Md. Mizanur Rahman Sarker")</f>
        <v>[DMRS] Dr. Md. Mizanur Rahman Sarker</v>
      </c>
      <c r="B37" s="15">
        <f t="shared" si="1"/>
        <v>0</v>
      </c>
      <c r="C37" s="15" t="str">
        <f>IFERROR(__xludf.DUMMYFUNCTION(" QUERY(IMPORTRANGE(""https://docs.google.com/spreadsheets/d/1xytwrrnzAdDwj8WFj5u6b5L5uYRsNheZVC4UcGqUzKQ/edit?gid=1891914664#gid=1891914664"", ""Faculty-wise All!A2:D""), ""SELECT Col4 WHERE Col1 = '"" &amp;A37 &amp;""'"")"),"#REF!")</f>
        <v>#REF!</v>
      </c>
      <c r="D37" s="15"/>
      <c r="E37" s="26" t="str">
        <f t="shared" si="2"/>
        <v>#REF!</v>
      </c>
      <c r="F37" s="32" t="str">
        <f t="shared" si="3"/>
        <v>#REF!</v>
      </c>
      <c r="G37" s="15">
        <f>IFERROR(__xludf.DUMMYFUNCTION("IF(COUNTIF(IMPORTRANGE(""https://docs.google.com/spreadsheets/d/1xytwrrnzAdDwj8WFj5u6b5L5uYRsNheZVC4UcGqUzKQ/edit"", ""'Full Time Load'!B:B""), ""*"" &amp; MID(A37, 2, FIND(""]"", A37) - 2) &amp; ""*"") &gt; 0, 1, 0)"),0.0)</f>
        <v>0</v>
      </c>
    </row>
    <row r="38" ht="15.75" customHeight="1">
      <c r="A38" s="15" t="str">
        <f>IFERROR(__xludf.DUMMYFUNCTION("""COMPUTED_VALUE"""),"[DOF] Dr. Mohammad Omar Faruq")</f>
        <v>[DOF] Dr. Mohammad Omar Faruq</v>
      </c>
      <c r="B38" s="15">
        <f t="shared" si="1"/>
        <v>0</v>
      </c>
      <c r="C38" s="15" t="str">
        <f>IFERROR(__xludf.DUMMYFUNCTION(" QUERY(IMPORTRANGE(""https://docs.google.com/spreadsheets/d/1xytwrrnzAdDwj8WFj5u6b5L5uYRsNheZVC4UcGqUzKQ/edit?gid=1891914664#gid=1891914664"", ""Faculty-wise All!A2:D""), ""SELECT Col4 WHERE Col1 = '"" &amp;A38 &amp;""'"")"),"#REF!")</f>
        <v>#REF!</v>
      </c>
      <c r="D38" s="15"/>
      <c r="E38" s="26" t="str">
        <f t="shared" si="2"/>
        <v>#REF!</v>
      </c>
      <c r="F38" s="32" t="str">
        <f t="shared" si="3"/>
        <v>#REF!</v>
      </c>
      <c r="G38" s="15">
        <f>IFERROR(__xludf.DUMMYFUNCTION("IF(COUNTIF(IMPORTRANGE(""https://docs.google.com/spreadsheets/d/1xytwrrnzAdDwj8WFj5u6b5L5uYRsNheZVC4UcGqUzKQ/edit"", ""'Full Time Load'!B:B""), ""*"" &amp; MID(A38, 2, FIND(""]"", A38) - 2) &amp; ""*"") &gt; 0, 1, 0)"),0.0)</f>
        <v>0</v>
      </c>
    </row>
    <row r="39" ht="15.75" customHeight="1">
      <c r="A39" s="15" t="str">
        <f>IFERROR(__xludf.DUMMYFUNCTION("""COMPUTED_VALUE"""),"[DRAD] Dr. Ramit Azad")</f>
        <v>[DRAD] Dr. Ramit Azad</v>
      </c>
      <c r="B39" s="15">
        <f t="shared" si="1"/>
        <v>0</v>
      </c>
      <c r="C39" s="15" t="str">
        <f>IFERROR(__xludf.DUMMYFUNCTION(" QUERY(IMPORTRANGE(""https://docs.google.com/spreadsheets/d/1xytwrrnzAdDwj8WFj5u6b5L5uYRsNheZVC4UcGqUzKQ/edit?gid=1891914664#gid=1891914664"", ""Faculty-wise All!A2:D""), ""SELECT Col4 WHERE Col1 = '"" &amp;A39 &amp;""'"")"),"#REF!")</f>
        <v>#REF!</v>
      </c>
      <c r="D39" s="15"/>
      <c r="E39" s="26" t="str">
        <f t="shared" si="2"/>
        <v>#REF!</v>
      </c>
      <c r="F39" s="32" t="str">
        <f t="shared" si="3"/>
        <v>#REF!</v>
      </c>
      <c r="G39" s="15">
        <f>IFERROR(__xludf.DUMMYFUNCTION("IF(COUNTIF(IMPORTRANGE(""https://docs.google.com/spreadsheets/d/1xytwrrnzAdDwj8WFj5u6b5L5uYRsNheZVC4UcGqUzKQ/edit"", ""'Full Time Load'!B:B""), ""*"" &amp; MID(A39, 2, FIND(""]"", A39) - 2) &amp; ""*"") &gt; 0, 1, 0)"),0.0)</f>
        <v>0</v>
      </c>
    </row>
    <row r="40" ht="15.75" customHeight="1">
      <c r="A40" s="15" t="str">
        <f>IFERROR(__xludf.DUMMYFUNCTION("""COMPUTED_VALUE"""),"[DRAS] Dr. Rakib Ahmed Saleh")</f>
        <v>[DRAS] Dr. Rakib Ahmed Saleh</v>
      </c>
      <c r="B40" s="15">
        <f t="shared" si="1"/>
        <v>0</v>
      </c>
      <c r="C40" s="15" t="str">
        <f>IFERROR(__xludf.DUMMYFUNCTION(" QUERY(IMPORTRANGE(""https://docs.google.com/spreadsheets/d/1xytwrrnzAdDwj8WFj5u6b5L5uYRsNheZVC4UcGqUzKQ/edit?gid=1891914664#gid=1891914664"", ""Faculty-wise All!A2:D""), ""SELECT Col4 WHERE Col1 = '"" &amp;A40 &amp;""'"")"),"#REF!")</f>
        <v>#REF!</v>
      </c>
      <c r="D40" s="15"/>
      <c r="E40" s="26" t="str">
        <f t="shared" si="2"/>
        <v>#REF!</v>
      </c>
      <c r="F40" s="32" t="str">
        <f t="shared" si="3"/>
        <v>#REF!</v>
      </c>
      <c r="G40" s="15">
        <f>IFERROR(__xludf.DUMMYFUNCTION("IF(COUNTIF(IMPORTRANGE(""https://docs.google.com/spreadsheets/d/1xytwrrnzAdDwj8WFj5u6b5L5uYRsNheZVC4UcGqUzKQ/edit"", ""'Full Time Load'!B:B""), ""*"" &amp; MID(A40, 2, FIND(""]"", A40) - 2) &amp; ""*"") &gt; 0, 1, 0)"),0.0)</f>
        <v>0</v>
      </c>
    </row>
    <row r="41" ht="15.75" customHeight="1">
      <c r="A41" s="15" t="str">
        <f>IFERROR(__xludf.DUMMYFUNCTION("""COMPUTED_VALUE"""),"[DRAT] Dr. Ashis Talukder")</f>
        <v>[DRAT] Dr. Ashis Talukder</v>
      </c>
      <c r="B41" s="15">
        <f t="shared" si="1"/>
        <v>0</v>
      </c>
      <c r="C41" s="15" t="str">
        <f>IFERROR(__xludf.DUMMYFUNCTION(" QUERY(IMPORTRANGE(""https://docs.google.com/spreadsheets/d/1xytwrrnzAdDwj8WFj5u6b5L5uYRsNheZVC4UcGqUzKQ/edit?gid=1891914664#gid=1891914664"", ""Faculty-wise All!A2:D""), ""SELECT Col4 WHERE Col1 = '"" &amp;A41 &amp;""'"")"),"#REF!")</f>
        <v>#REF!</v>
      </c>
      <c r="D41" s="15"/>
      <c r="E41" s="26" t="str">
        <f t="shared" si="2"/>
        <v>#REF!</v>
      </c>
      <c r="F41" s="32" t="str">
        <f t="shared" si="3"/>
        <v>#REF!</v>
      </c>
      <c r="G41" s="15">
        <f>IFERROR(__xludf.DUMMYFUNCTION("IF(COUNTIF(IMPORTRANGE(""https://docs.google.com/spreadsheets/d/1xytwrrnzAdDwj8WFj5u6b5L5uYRsNheZVC4UcGqUzKQ/edit"", ""'Full Time Load'!B:B""), ""*"" &amp; MID(A41, 2, FIND(""]"", A41) - 2) &amp; ""*"") &gt; 0, 1, 0)"),0.0)</f>
        <v>0</v>
      </c>
    </row>
    <row r="42" ht="15.75" customHeight="1">
      <c r="A42" s="15" t="str">
        <f>IFERROR(__xludf.DUMMYFUNCTION("""COMPUTED_VALUE"""),"[DRBH] Dr. Md. Rakibul Hasan")</f>
        <v>[DRBH] Dr. Md. Rakibul Hasan</v>
      </c>
      <c r="B42" s="15">
        <f t="shared" si="1"/>
        <v>0</v>
      </c>
      <c r="C42" s="15" t="str">
        <f>IFERROR(__xludf.DUMMYFUNCTION(" QUERY(IMPORTRANGE(""https://docs.google.com/spreadsheets/d/1xytwrrnzAdDwj8WFj5u6b5L5uYRsNheZVC4UcGqUzKQ/edit?gid=1891914664#gid=1891914664"", ""Faculty-wise All!A2:D""), ""SELECT Col4 WHERE Col1 = '"" &amp;A42 &amp;""'"")"),"#REF!")</f>
        <v>#REF!</v>
      </c>
      <c r="D42" s="15"/>
      <c r="E42" s="26" t="str">
        <f t="shared" si="2"/>
        <v>#REF!</v>
      </c>
      <c r="F42" s="32" t="str">
        <f t="shared" si="3"/>
        <v>#REF!</v>
      </c>
      <c r="G42" s="15">
        <f>IFERROR(__xludf.DUMMYFUNCTION("IF(COUNTIF(IMPORTRANGE(""https://docs.google.com/spreadsheets/d/1xytwrrnzAdDwj8WFj5u6b5L5uYRsNheZVC4UcGqUzKQ/edit"", ""'Full Time Load'!B:B""), ""*"" &amp; MID(A42, 2, FIND(""]"", A42) - 2) &amp; ""*"") &gt; 0, 1, 0)"),0.0)</f>
        <v>0</v>
      </c>
    </row>
    <row r="43" ht="15.75" customHeight="1">
      <c r="A43" s="15" t="str">
        <f>IFERROR(__xludf.DUMMYFUNCTION("""COMPUTED_VALUE"""),"[DSAK] Prof. Dr. Shamim Akhter")</f>
        <v>[DSAK] Prof. Dr. Shamim Akhter</v>
      </c>
      <c r="B43" s="15">
        <f t="shared" si="1"/>
        <v>0</v>
      </c>
      <c r="C43" s="15" t="str">
        <f>IFERROR(__xludf.DUMMYFUNCTION(" QUERY(IMPORTRANGE(""https://docs.google.com/spreadsheets/d/1xytwrrnzAdDwj8WFj5u6b5L5uYRsNheZVC4UcGqUzKQ/edit?gid=1891914664#gid=1891914664"", ""Faculty-wise All!A2:D""), ""SELECT Col4 WHERE Col1 = '"" &amp;A43 &amp;""'"")"),"#REF!")</f>
        <v>#REF!</v>
      </c>
      <c r="D43" s="15"/>
      <c r="E43" s="26" t="str">
        <f t="shared" si="2"/>
        <v>#REF!</v>
      </c>
      <c r="F43" s="32" t="str">
        <f t="shared" si="3"/>
        <v>#REF!</v>
      </c>
      <c r="G43" s="15">
        <f>IFERROR(__xludf.DUMMYFUNCTION("IF(COUNTIF(IMPORTRANGE(""https://docs.google.com/spreadsheets/d/1xytwrrnzAdDwj8WFj5u6b5L5uYRsNheZVC4UcGqUzKQ/edit"", ""'Full Time Load'!B:B""), ""*"" &amp; MID(A43, 2, FIND(""]"", A43) - 2) &amp; ""*"") &gt; 0, 1, 0)"),0.0)</f>
        <v>0</v>
      </c>
    </row>
    <row r="44" ht="15.75" customHeight="1">
      <c r="A44" s="15" t="str">
        <f>IFERROR(__xludf.DUMMYFUNCTION("""COMPUTED_VALUE"""),"[DSK] Dr. Mst. Shahanaz Khanam")</f>
        <v>[DSK] Dr. Mst. Shahanaz Khanam</v>
      </c>
      <c r="B44" s="15">
        <f t="shared" si="1"/>
        <v>0</v>
      </c>
      <c r="C44" s="15" t="str">
        <f>IFERROR(__xludf.DUMMYFUNCTION(" QUERY(IMPORTRANGE(""https://docs.google.com/spreadsheets/d/1xytwrrnzAdDwj8WFj5u6b5L5uYRsNheZVC4UcGqUzKQ/edit?gid=1891914664#gid=1891914664"", ""Faculty-wise All!A2:D""), ""SELECT Col4 WHERE Col1 = '"" &amp;A44 &amp;""'"")"),"#REF!")</f>
        <v>#REF!</v>
      </c>
      <c r="D44" s="15"/>
      <c r="E44" s="26" t="str">
        <f t="shared" si="2"/>
        <v>#REF!</v>
      </c>
      <c r="F44" s="32" t="str">
        <f t="shared" si="3"/>
        <v>#REF!</v>
      </c>
      <c r="G44" s="15">
        <f>IFERROR(__xludf.DUMMYFUNCTION("IF(COUNTIF(IMPORTRANGE(""https://docs.google.com/spreadsheets/d/1xytwrrnzAdDwj8WFj5u6b5L5uYRsNheZVC4UcGqUzKQ/edit"", ""'Full Time Load'!B:B""), ""*"" &amp; MID(A44, 2, FIND(""]"", A44) - 2) &amp; ""*"") &gt; 0, 1, 0)"),0.0)</f>
        <v>0</v>
      </c>
    </row>
    <row r="45" ht="15.75" customHeight="1">
      <c r="A45" s="15" t="str">
        <f>IFERROR(__xludf.DUMMYFUNCTION("""COMPUTED_VALUE"""),"[DUR] Dr. Md. Ruhul Amin")</f>
        <v>[DUR] Dr. Md. Ruhul Amin</v>
      </c>
      <c r="B45" s="15">
        <f t="shared" si="1"/>
        <v>0</v>
      </c>
      <c r="C45" s="15" t="str">
        <f>IFERROR(__xludf.DUMMYFUNCTION(" QUERY(IMPORTRANGE(""https://docs.google.com/spreadsheets/d/1xytwrrnzAdDwj8WFj5u6b5L5uYRsNheZVC4UcGqUzKQ/edit?gid=1891914664#gid=1891914664"", ""Faculty-wise All!A2:D""), ""SELECT Col4 WHERE Col1 = '"" &amp;A45 &amp;""'"")"),"#REF!")</f>
        <v>#REF!</v>
      </c>
      <c r="D45" s="15">
        <v>3.0</v>
      </c>
      <c r="E45" s="26" t="str">
        <f t="shared" si="2"/>
        <v>#REF!</v>
      </c>
      <c r="F45" s="32" t="str">
        <f t="shared" si="3"/>
        <v>#REF!</v>
      </c>
      <c r="G45" s="15">
        <f>IFERROR(__xludf.DUMMYFUNCTION("IF(COUNTIF(IMPORTRANGE(""https://docs.google.com/spreadsheets/d/1xytwrrnzAdDwj8WFj5u6b5L5uYRsNheZVC4UcGqUzKQ/edit"", ""'Full Time Load'!B:B""), ""*"" &amp; MID(A45, 2, FIND(""]"", A45) - 2) &amp; ""*"") &gt; 0, 1, 0)"),0.0)</f>
        <v>0</v>
      </c>
      <c r="H45" s="43" t="s">
        <v>545</v>
      </c>
    </row>
    <row r="46" ht="15.75" customHeight="1">
      <c r="A46" s="15" t="str">
        <f>IFERROR(__xludf.DUMMYFUNCTION("""COMPUTED_VALUE"""),"[FAFA] Faika Fairuj Preotee")</f>
        <v>[FAFA] Faika Fairuj Preotee</v>
      </c>
      <c r="B46" s="15">
        <f t="shared" si="1"/>
        <v>0</v>
      </c>
      <c r="C46" s="15" t="str">
        <f>IFERROR(__xludf.DUMMYFUNCTION(" QUERY(IMPORTRANGE(""https://docs.google.com/spreadsheets/d/1xytwrrnzAdDwj8WFj5u6b5L5uYRsNheZVC4UcGqUzKQ/edit?gid=1891914664#gid=1891914664"", ""Faculty-wise All!A2:D""), ""SELECT Col4 WHERE Col1 = '"" &amp;A46 &amp;""'"")"),"#REF!")</f>
        <v>#REF!</v>
      </c>
      <c r="D46" s="15"/>
      <c r="E46" s="26" t="str">
        <f t="shared" si="2"/>
        <v>#REF!</v>
      </c>
      <c r="F46" s="32" t="str">
        <f t="shared" si="3"/>
        <v>#REF!</v>
      </c>
      <c r="G46" s="15">
        <f>IFERROR(__xludf.DUMMYFUNCTION("IF(COUNTIF(IMPORTRANGE(""https://docs.google.com/spreadsheets/d/1xytwrrnzAdDwj8WFj5u6b5L5uYRsNheZVC4UcGqUzKQ/edit"", ""'Full Time Load'!B:B""), ""*"" &amp; MID(A46, 2, FIND(""]"", A46) - 2) &amp; ""*"") &gt; 0, 1, 0)"),0.0)</f>
        <v>0</v>
      </c>
    </row>
    <row r="47" ht="15.75" customHeight="1">
      <c r="A47" s="15" t="str">
        <f>IFERROR(__xludf.DUMMYFUNCTION("""COMPUTED_VALUE"""),"[FARA] Farhana Akter")</f>
        <v>[FARA] Farhana Akter</v>
      </c>
      <c r="B47" s="15">
        <f t="shared" si="1"/>
        <v>0</v>
      </c>
      <c r="C47" s="15" t="str">
        <f>IFERROR(__xludf.DUMMYFUNCTION(" QUERY(IMPORTRANGE(""https://docs.google.com/spreadsheets/d/1xytwrrnzAdDwj8WFj5u6b5L5uYRsNheZVC4UcGqUzKQ/edit?gid=1891914664#gid=1891914664"", ""Faculty-wise All!A2:D""), ""SELECT Col4 WHERE Col1 = '"" &amp;A47 &amp;""'"")"),"#REF!")</f>
        <v>#REF!</v>
      </c>
      <c r="D47" s="15"/>
      <c r="E47" s="26" t="str">
        <f t="shared" si="2"/>
        <v>#REF!</v>
      </c>
      <c r="F47" s="32" t="str">
        <f t="shared" si="3"/>
        <v>#REF!</v>
      </c>
      <c r="G47" s="15">
        <f>IFERROR(__xludf.DUMMYFUNCTION("IF(COUNTIF(IMPORTRANGE(""https://docs.google.com/spreadsheets/d/1xytwrrnzAdDwj8WFj5u6b5L5uYRsNheZVC4UcGqUzKQ/edit"", ""'Full Time Load'!B:B""), ""*"" &amp; MID(A47, 2, FIND(""]"", A47) - 2) &amp; ""*"") &gt; 0, 1, 0)"),0.0)</f>
        <v>0</v>
      </c>
    </row>
    <row r="48" ht="15.75" customHeight="1">
      <c r="A48" s="15" t="str">
        <f>IFERROR(__xludf.DUMMYFUNCTION("""COMPUTED_VALUE"""),"[FBH] Md. Ferdous Bin Hafiz")</f>
        <v>[FBH] Md. Ferdous Bin Hafiz</v>
      </c>
      <c r="B48" s="15">
        <f t="shared" si="1"/>
        <v>0</v>
      </c>
      <c r="C48" s="15" t="str">
        <f>IFERROR(__xludf.DUMMYFUNCTION(" QUERY(IMPORTRANGE(""https://docs.google.com/spreadsheets/d/1xytwrrnzAdDwj8WFj5u6b5L5uYRsNheZVC4UcGqUzKQ/edit?gid=1891914664#gid=1891914664"", ""Faculty-wise All!A2:D""), ""SELECT Col4 WHERE Col1 = '"" &amp;A48 &amp;""'"")"),"#REF!")</f>
        <v>#REF!</v>
      </c>
      <c r="D48" s="15">
        <v>7.0</v>
      </c>
      <c r="E48" s="26" t="str">
        <f t="shared" si="2"/>
        <v>#REF!</v>
      </c>
      <c r="F48" s="32" t="str">
        <f t="shared" si="3"/>
        <v>#REF!</v>
      </c>
      <c r="G48" s="15">
        <f>IFERROR(__xludf.DUMMYFUNCTION("IF(COUNTIF(IMPORTRANGE(""https://docs.google.com/spreadsheets/d/1xytwrrnzAdDwj8WFj5u6b5L5uYRsNheZVC4UcGqUzKQ/edit"", ""'Full Time Load'!B:B""), ""*"" &amp; MID(A48, 2, FIND(""]"", A48) - 2) &amp; ""*"") &gt; 0, 1, 0)"),0.0)</f>
        <v>0</v>
      </c>
      <c r="H48" s="43" t="s">
        <v>573</v>
      </c>
    </row>
    <row r="49" ht="15.75" customHeight="1">
      <c r="A49" s="15" t="str">
        <f>IFERROR(__xludf.DUMMYFUNCTION("""COMPUTED_VALUE"""),"[FIZA] Nabiha Fiza")</f>
        <v>[FIZA] Nabiha Fiza</v>
      </c>
      <c r="B49" s="15">
        <f t="shared" si="1"/>
        <v>0</v>
      </c>
      <c r="C49" s="15" t="str">
        <f>IFERROR(__xludf.DUMMYFUNCTION(" QUERY(IMPORTRANGE(""https://docs.google.com/spreadsheets/d/1xytwrrnzAdDwj8WFj5u6b5L5uYRsNheZVC4UcGqUzKQ/edit?gid=1891914664#gid=1891914664"", ""Faculty-wise All!A2:D""), ""SELECT Col4 WHERE Col1 = '"" &amp;A49 &amp;""'"")"),"#REF!")</f>
        <v>#REF!</v>
      </c>
      <c r="D49" s="15"/>
      <c r="E49" s="26" t="str">
        <f t="shared" si="2"/>
        <v>#REF!</v>
      </c>
      <c r="F49" s="32" t="str">
        <f t="shared" si="3"/>
        <v>#REF!</v>
      </c>
      <c r="G49" s="15">
        <f>IFERROR(__xludf.DUMMYFUNCTION("IF(COUNTIF(IMPORTRANGE(""https://docs.google.com/spreadsheets/d/1xytwrrnzAdDwj8WFj5u6b5L5uYRsNheZVC4UcGqUzKQ/edit"", ""'Full Time Load'!B:B""), ""*"" &amp; MID(A49, 2, FIND(""]"", A49) - 2) &amp; ""*"") &gt; 0, 1, 0)"),0.0)</f>
        <v>0</v>
      </c>
    </row>
    <row r="50" ht="15.75" customHeight="1">
      <c r="A50" s="15" t="str">
        <f>IFERROR(__xludf.DUMMYFUNCTION("""COMPUTED_VALUE"""),"[FURA] Furkan Ahmed")</f>
        <v>[FURA] Furkan Ahmed</v>
      </c>
      <c r="B50" s="15">
        <f t="shared" si="1"/>
        <v>0</v>
      </c>
      <c r="C50" s="15" t="str">
        <f>IFERROR(__xludf.DUMMYFUNCTION(" QUERY(IMPORTRANGE(""https://docs.google.com/spreadsheets/d/1xytwrrnzAdDwj8WFj5u6b5L5uYRsNheZVC4UcGqUzKQ/edit?gid=1891914664#gid=1891914664"", ""Faculty-wise All!A2:D""), ""SELECT Col4 WHERE Col1 = '"" &amp;A50 &amp;""'"")"),"#REF!")</f>
        <v>#REF!</v>
      </c>
      <c r="D50" s="15"/>
      <c r="E50" s="26" t="str">
        <f t="shared" si="2"/>
        <v>#REF!</v>
      </c>
      <c r="F50" s="32" t="str">
        <f t="shared" si="3"/>
        <v>#REF!</v>
      </c>
      <c r="G50" s="15">
        <f>IFERROR(__xludf.DUMMYFUNCTION("IF(COUNTIF(IMPORTRANGE(""https://docs.google.com/spreadsheets/d/1xytwrrnzAdDwj8WFj5u6b5L5uYRsNheZVC4UcGqUzKQ/edit"", ""'Full Time Load'!B:B""), ""*"" &amp; MID(A50, 2, FIND(""]"", A50) - 2) &amp; ""*"") &gt; 0, 1, 0)"),0.0)</f>
        <v>0</v>
      </c>
    </row>
    <row r="51" ht="15.75" customHeight="1">
      <c r="A51" s="15" t="str">
        <f>IFERROR(__xludf.DUMMYFUNCTION("""COMPUTED_VALUE"""),"[FUZ] Farhad Uz Zaman")</f>
        <v>[FUZ] Farhad Uz Zaman</v>
      </c>
      <c r="B51" s="15">
        <f t="shared" si="1"/>
        <v>0</v>
      </c>
      <c r="C51" s="15" t="str">
        <f>IFERROR(__xludf.DUMMYFUNCTION(" QUERY(IMPORTRANGE(""https://docs.google.com/spreadsheets/d/1xytwrrnzAdDwj8WFj5u6b5L5uYRsNheZVC4UcGqUzKQ/edit?gid=1891914664#gid=1891914664"", ""Faculty-wise All!A2:D""), ""SELECT Col4 WHERE Col1 = '"" &amp;A51 &amp;""'"")"),"#REF!")</f>
        <v>#REF!</v>
      </c>
      <c r="D51" s="15"/>
      <c r="E51" s="26" t="str">
        <f t="shared" si="2"/>
        <v>#REF!</v>
      </c>
      <c r="F51" s="32" t="str">
        <f t="shared" si="3"/>
        <v>#REF!</v>
      </c>
      <c r="G51" s="15">
        <f>IFERROR(__xludf.DUMMYFUNCTION("IF(COUNTIF(IMPORTRANGE(""https://docs.google.com/spreadsheets/d/1xytwrrnzAdDwj8WFj5u6b5L5uYRsNheZVC4UcGqUzKQ/edit"", ""'Full Time Load'!B:B""), ""*"" &amp; MID(A51, 2, FIND(""]"", A51) - 2) &amp; ""*"") &gt; 0, 1, 0)"),0.0)</f>
        <v>0</v>
      </c>
    </row>
    <row r="52" ht="15.75" customHeight="1">
      <c r="A52" s="15" t="str">
        <f>IFERROR(__xludf.DUMMYFUNCTION("""COMPUTED_VALUE"""),"[FZC] Dr. Faieza Chowdhury")</f>
        <v>[FZC] Dr. Faieza Chowdhury</v>
      </c>
      <c r="B52" s="15">
        <f t="shared" si="1"/>
        <v>0</v>
      </c>
      <c r="C52" s="15" t="str">
        <f>IFERROR(__xludf.DUMMYFUNCTION(" QUERY(IMPORTRANGE(""https://docs.google.com/spreadsheets/d/1xytwrrnzAdDwj8WFj5u6b5L5uYRsNheZVC4UcGqUzKQ/edit?gid=1891914664#gid=1891914664"", ""Faculty-wise All!A2:D""), ""SELECT Col4 WHERE Col1 = '"" &amp;A52 &amp;""'"")"),"#REF!")</f>
        <v>#REF!</v>
      </c>
      <c r="D52" s="15"/>
      <c r="E52" s="26" t="str">
        <f t="shared" si="2"/>
        <v>#REF!</v>
      </c>
      <c r="F52" s="32" t="str">
        <f t="shared" si="3"/>
        <v>#REF!</v>
      </c>
      <c r="G52" s="15">
        <f>IFERROR(__xludf.DUMMYFUNCTION("IF(COUNTIF(IMPORTRANGE(""https://docs.google.com/spreadsheets/d/1xytwrrnzAdDwj8WFj5u6b5L5uYRsNheZVC4UcGqUzKQ/edit"", ""'Full Time Load'!B:B""), ""*"" &amp; MID(A52, 2, FIND(""]"", A52) - 2) &amp; ""*"") &gt; 0, 1, 0)"),0.0)</f>
        <v>0</v>
      </c>
    </row>
    <row r="53" ht="15.75" customHeight="1">
      <c r="A53" s="15" t="str">
        <f>IFERROR(__xludf.DUMMYFUNCTION("""COMPUTED_VALUE"""),"[GKS] Goutam Kumar Saha")</f>
        <v>[GKS] Goutam Kumar Saha</v>
      </c>
      <c r="B53" s="15">
        <f t="shared" si="1"/>
        <v>0</v>
      </c>
      <c r="C53" s="15" t="str">
        <f>IFERROR(__xludf.DUMMYFUNCTION(" QUERY(IMPORTRANGE(""https://docs.google.com/spreadsheets/d/1xytwrrnzAdDwj8WFj5u6b5L5uYRsNheZVC4UcGqUzKQ/edit?gid=1891914664#gid=1891914664"", ""Faculty-wise All!A2:D""), ""SELECT Col4 WHERE Col1 = '"" &amp;A53 &amp;""'"")"),"#REF!")</f>
        <v>#REF!</v>
      </c>
      <c r="D53" s="15"/>
      <c r="E53" s="26" t="str">
        <f t="shared" si="2"/>
        <v>#REF!</v>
      </c>
      <c r="F53" s="32" t="str">
        <f t="shared" si="3"/>
        <v>#REF!</v>
      </c>
      <c r="G53" s="15">
        <f>IFERROR(__xludf.DUMMYFUNCTION("IF(COUNTIF(IMPORTRANGE(""https://docs.google.com/spreadsheets/d/1xytwrrnzAdDwj8WFj5u6b5L5uYRsNheZVC4UcGqUzKQ/edit"", ""'Full Time Load'!B:B""), ""*"" &amp; MID(A53, 2, FIND(""]"", A53) - 2) &amp; ""*"") &gt; 0, 1, 0)"),0.0)</f>
        <v>0</v>
      </c>
    </row>
    <row r="54" ht="15.75" customHeight="1">
      <c r="A54" s="15" t="str">
        <f>IFERROR(__xludf.DUMMYFUNCTION("""COMPUTED_VALUE"""),"[GM] Golam Mostafa")</f>
        <v>[GM] Golam Mostafa</v>
      </c>
      <c r="B54" s="15">
        <f t="shared" si="1"/>
        <v>0</v>
      </c>
      <c r="C54" s="15" t="str">
        <f>IFERROR(__xludf.DUMMYFUNCTION(" QUERY(IMPORTRANGE(""https://docs.google.com/spreadsheets/d/1xytwrrnzAdDwj8WFj5u6b5L5uYRsNheZVC4UcGqUzKQ/edit?gid=1891914664#gid=1891914664"", ""Faculty-wise All!A2:D""), ""SELECT Col4 WHERE Col1 = '"" &amp;A54 &amp;""'"")"),"#REF!")</f>
        <v>#REF!</v>
      </c>
      <c r="D54" s="15"/>
      <c r="E54" s="26" t="str">
        <f t="shared" si="2"/>
        <v>#REF!</v>
      </c>
      <c r="F54" s="32" t="str">
        <f t="shared" si="3"/>
        <v>#REF!</v>
      </c>
      <c r="G54" s="15">
        <f>IFERROR(__xludf.DUMMYFUNCTION("IF(COUNTIF(IMPORTRANGE(""https://docs.google.com/spreadsheets/d/1xytwrrnzAdDwj8WFj5u6b5L5uYRsNheZVC4UcGqUzKQ/edit"", ""'Full Time Load'!B:B""), ""*"" &amp; MID(A54, 2, FIND(""]"", A54) - 2) &amp; ""*"") &gt; 0, 1, 0)"),0.0)</f>
        <v>0</v>
      </c>
      <c r="I54" s="43" t="s">
        <v>628</v>
      </c>
    </row>
    <row r="55" ht="15.75" customHeight="1">
      <c r="A55" s="15" t="str">
        <f>IFERROR(__xludf.DUMMYFUNCTION("""COMPUTED_VALUE"""),"[GRB] Golam Rabbany")</f>
        <v>[GRB] Golam Rabbany</v>
      </c>
      <c r="B55" s="15">
        <f t="shared" si="1"/>
        <v>0</v>
      </c>
      <c r="C55" s="15" t="str">
        <f>IFERROR(__xludf.DUMMYFUNCTION(" QUERY(IMPORTRANGE(""https://docs.google.com/spreadsheets/d/1xytwrrnzAdDwj8WFj5u6b5L5uYRsNheZVC4UcGqUzKQ/edit?gid=1891914664#gid=1891914664"", ""Faculty-wise All!A2:D""), ""SELECT Col4 WHERE Col1 = '"" &amp;A55 &amp;""'"")"),"#REF!")</f>
        <v>#REF!</v>
      </c>
      <c r="D55" s="15"/>
      <c r="E55" s="26" t="str">
        <f t="shared" si="2"/>
        <v>#REF!</v>
      </c>
      <c r="F55" s="32" t="str">
        <f t="shared" si="3"/>
        <v>#REF!</v>
      </c>
      <c r="G55" s="15">
        <f>IFERROR(__xludf.DUMMYFUNCTION("IF(COUNTIF(IMPORTRANGE(""https://docs.google.com/spreadsheets/d/1xytwrrnzAdDwj8WFj5u6b5L5uYRsNheZVC4UcGqUzKQ/edit"", ""'Full Time Load'!B:B""), ""*"" &amp; MID(A55, 2, FIND(""]"", A55) - 2) &amp; ""*"") &gt; 0, 1, 0)"),0.0)</f>
        <v>0</v>
      </c>
    </row>
    <row r="56" ht="15.75" customHeight="1">
      <c r="A56" s="15" t="str">
        <f>IFERROR(__xludf.DUMMYFUNCTION("""COMPUTED_VALUE"""),"[GZI] Dr. Gazi Zahirul Islam")</f>
        <v>[GZI] Dr. Gazi Zahirul Islam</v>
      </c>
      <c r="B56" s="15">
        <f t="shared" si="1"/>
        <v>0</v>
      </c>
      <c r="C56" s="15" t="str">
        <f>IFERROR(__xludf.DUMMYFUNCTION(" QUERY(IMPORTRANGE(""https://docs.google.com/spreadsheets/d/1xytwrrnzAdDwj8WFj5u6b5L5uYRsNheZVC4UcGqUzKQ/edit?gid=1891914664#gid=1891914664"", ""Faculty-wise All!A2:D""), ""SELECT Col4 WHERE Col1 = '"" &amp;A56 &amp;""'"")"),"#REF!")</f>
        <v>#REF!</v>
      </c>
      <c r="D56" s="15"/>
      <c r="E56" s="26" t="str">
        <f t="shared" si="2"/>
        <v>#REF!</v>
      </c>
      <c r="F56" s="32" t="str">
        <f t="shared" si="3"/>
        <v>#REF!</v>
      </c>
      <c r="G56" s="15">
        <f>IFERROR(__xludf.DUMMYFUNCTION("IF(COUNTIF(IMPORTRANGE(""https://docs.google.com/spreadsheets/d/1xytwrrnzAdDwj8WFj5u6b5L5uYRsNheZVC4UcGqUzKQ/edit"", ""'Full Time Load'!B:B""), ""*"" &amp; MID(A56, 2, FIND(""]"", A56) - 2) &amp; ""*"") &gt; 0, 1, 0)"),0.0)</f>
        <v>0</v>
      </c>
    </row>
    <row r="57" ht="15.75" customHeight="1">
      <c r="A57" s="15" t="str">
        <f>IFERROR(__xludf.DUMMYFUNCTION("""COMPUTED_VALUE"""),"[HAB] Hasan Al Banna")</f>
        <v>[HAB] Hasan Al Banna</v>
      </c>
      <c r="B57" s="15">
        <f t="shared" si="1"/>
        <v>0</v>
      </c>
      <c r="C57" s="15" t="str">
        <f>IFERROR(__xludf.DUMMYFUNCTION(" QUERY(IMPORTRANGE(""https://docs.google.com/spreadsheets/d/1xytwrrnzAdDwj8WFj5u6b5L5uYRsNheZVC4UcGqUzKQ/edit?gid=1891914664#gid=1891914664"", ""Faculty-wise All!A2:D""), ""SELECT Col4 WHERE Col1 = '"" &amp;A57 &amp;""'"")"),"#REF!")</f>
        <v>#REF!</v>
      </c>
      <c r="D57" s="15"/>
      <c r="E57" s="26" t="str">
        <f t="shared" si="2"/>
        <v>#REF!</v>
      </c>
      <c r="F57" s="32" t="str">
        <f t="shared" si="3"/>
        <v>#REF!</v>
      </c>
      <c r="G57" s="15">
        <f>IFERROR(__xludf.DUMMYFUNCTION("IF(COUNTIF(IMPORTRANGE(""https://docs.google.com/spreadsheets/d/1xytwrrnzAdDwj8WFj5u6b5L5uYRsNheZVC4UcGqUzKQ/edit"", ""'Full Time Load'!B:B""), ""*"" &amp; MID(A57, 2, FIND(""]"", A57) - 2) &amp; ""*"") &gt; 0, 1, 0)"),0.0)</f>
        <v>0</v>
      </c>
    </row>
    <row r="58" ht="15.75" customHeight="1">
      <c r="A58" s="15" t="str">
        <f>IFERROR(__xludf.DUMMYFUNCTION("""COMPUTED_VALUE"""),"[HDU] Md. Hedayet Ullah")</f>
        <v>[HDU] Md. Hedayet Ullah</v>
      </c>
      <c r="B58" s="15">
        <f t="shared" si="1"/>
        <v>0</v>
      </c>
      <c r="C58" s="15" t="str">
        <f>IFERROR(__xludf.DUMMYFUNCTION(" QUERY(IMPORTRANGE(""https://docs.google.com/spreadsheets/d/1xytwrrnzAdDwj8WFj5u6b5L5uYRsNheZVC4UcGqUzKQ/edit?gid=1891914664#gid=1891914664"", ""Faculty-wise All!A2:D""), ""SELECT Col4 WHERE Col1 = '"" &amp;A58 &amp;""'"")"),"#REF!")</f>
        <v>#REF!</v>
      </c>
      <c r="D58" s="15"/>
      <c r="E58" s="26" t="str">
        <f t="shared" si="2"/>
        <v>#REF!</v>
      </c>
      <c r="F58" s="32" t="str">
        <f t="shared" si="3"/>
        <v>#REF!</v>
      </c>
      <c r="G58" s="15">
        <f>IFERROR(__xludf.DUMMYFUNCTION("IF(COUNTIF(IMPORTRANGE(""https://docs.google.com/spreadsheets/d/1xytwrrnzAdDwj8WFj5u6b5L5uYRsNheZVC4UcGqUzKQ/edit"", ""'Full Time Load'!B:B""), ""*"" &amp; MID(A58, 2, FIND(""]"", A58) - 2) &amp; ""*"") &gt; 0, 1, 0)"),0.0)</f>
        <v>0</v>
      </c>
    </row>
    <row r="59" ht="15.75" customHeight="1">
      <c r="A59" s="15" t="str">
        <f>IFERROR(__xludf.DUMMYFUNCTION("""COMPUTED_VALUE"""),"[HUMA] Humira Bentay Mahmud")</f>
        <v>[HUMA] Humira Bentay Mahmud</v>
      </c>
      <c r="B59" s="15">
        <f t="shared" si="1"/>
        <v>0</v>
      </c>
      <c r="C59" s="15" t="str">
        <f>IFERROR(__xludf.DUMMYFUNCTION(" QUERY(IMPORTRANGE(""https://docs.google.com/spreadsheets/d/1xytwrrnzAdDwj8WFj5u6b5L5uYRsNheZVC4UcGqUzKQ/edit?gid=1891914664#gid=1891914664"", ""Faculty-wise All!A2:D""), ""SELECT Col4 WHERE Col1 = '"" &amp;A59 &amp;""'"")"),"#REF!")</f>
        <v>#REF!</v>
      </c>
      <c r="D59" s="15"/>
      <c r="E59" s="26" t="str">
        <f t="shared" si="2"/>
        <v>#REF!</v>
      </c>
      <c r="F59" s="32" t="str">
        <f t="shared" si="3"/>
        <v>#REF!</v>
      </c>
      <c r="G59" s="15">
        <f>IFERROR(__xludf.DUMMYFUNCTION("IF(COUNTIF(IMPORTRANGE(""https://docs.google.com/spreadsheets/d/1xytwrrnzAdDwj8WFj5u6b5L5uYRsNheZVC4UcGqUzKQ/edit"", ""'Full Time Load'!B:B""), ""*"" &amp; MID(A59, 2, FIND(""]"", A59) - 2) &amp; ""*"") &gt; 0, 1, 0)"),0.0)</f>
        <v>0</v>
      </c>
    </row>
    <row r="60" ht="15.75" customHeight="1">
      <c r="A60" s="15" t="str">
        <f>IFERROR(__xludf.DUMMYFUNCTION("""COMPUTED_VALUE"""),"[IHS] Imran Hossain Sabuj")</f>
        <v>[IHS] Imran Hossain Sabuj</v>
      </c>
      <c r="B60" s="15">
        <f t="shared" si="1"/>
        <v>0</v>
      </c>
      <c r="C60" s="15" t="str">
        <f>IFERROR(__xludf.DUMMYFUNCTION(" QUERY(IMPORTRANGE(""https://docs.google.com/spreadsheets/d/1xytwrrnzAdDwj8WFj5u6b5L5uYRsNheZVC4UcGqUzKQ/edit?gid=1891914664#gid=1891914664"", ""Faculty-wise All!A2:D""), ""SELECT Col4 WHERE Col1 = '"" &amp;A60 &amp;""'"")"),"#REF!")</f>
        <v>#REF!</v>
      </c>
      <c r="D60" s="15"/>
      <c r="E60" s="26" t="str">
        <f t="shared" si="2"/>
        <v>#REF!</v>
      </c>
      <c r="F60" s="32" t="str">
        <f t="shared" si="3"/>
        <v>#REF!</v>
      </c>
      <c r="G60" s="15">
        <f>IFERROR(__xludf.DUMMYFUNCTION("IF(COUNTIF(IMPORTRANGE(""https://docs.google.com/spreadsheets/d/1xytwrrnzAdDwj8WFj5u6b5L5uYRsNheZVC4UcGqUzKQ/edit"", ""'Full Time Load'!B:B""), ""*"" &amp; MID(A60, 2, FIND(""]"", A60) - 2) &amp; ""*"") &gt; 0, 1, 0)"),0.0)</f>
        <v>0</v>
      </c>
    </row>
    <row r="61" ht="15.75" customHeight="1">
      <c r="A61" s="15" t="str">
        <f>IFERROR(__xludf.DUMMYFUNCTION("""COMPUTED_VALUE"""),"[IJ] Ishrat Jahan")</f>
        <v>[IJ] Ishrat Jahan</v>
      </c>
      <c r="B61" s="15">
        <f t="shared" si="1"/>
        <v>0</v>
      </c>
      <c r="C61" s="15" t="str">
        <f>IFERROR(__xludf.DUMMYFUNCTION(" QUERY(IMPORTRANGE(""https://docs.google.com/spreadsheets/d/1xytwrrnzAdDwj8WFj5u6b5L5uYRsNheZVC4UcGqUzKQ/edit?gid=1891914664#gid=1891914664"", ""Faculty-wise All!A2:D""), ""SELECT Col4 WHERE Col1 = '"" &amp;A61 &amp;""'"")"),"#REF!")</f>
        <v>#REF!</v>
      </c>
      <c r="D61" s="15"/>
      <c r="E61" s="26" t="str">
        <f t="shared" si="2"/>
        <v>#REF!</v>
      </c>
      <c r="F61" s="32" t="str">
        <f t="shared" si="3"/>
        <v>#REF!</v>
      </c>
      <c r="G61" s="15">
        <f>IFERROR(__xludf.DUMMYFUNCTION("IF(COUNTIF(IMPORTRANGE(""https://docs.google.com/spreadsheets/d/1xytwrrnzAdDwj8WFj5u6b5L5uYRsNheZVC4UcGqUzKQ/edit"", ""'Full Time Load'!B:B""), ""*"" &amp; MID(A61, 2, FIND(""]"", A61) - 2) &amp; ""*"") &gt; 0, 1, 0)"),0.0)</f>
        <v>0</v>
      </c>
    </row>
    <row r="62" ht="15.75" customHeight="1">
      <c r="A62" s="15" t="str">
        <f>IFERROR(__xludf.DUMMYFUNCTION("""COMPUTED_VALUE"""),"[IN] S I M Adnan")</f>
        <v>[IN] S I M Adnan</v>
      </c>
      <c r="B62" s="15">
        <f t="shared" si="1"/>
        <v>0</v>
      </c>
      <c r="C62" s="15" t="str">
        <f>IFERROR(__xludf.DUMMYFUNCTION(" QUERY(IMPORTRANGE(""https://docs.google.com/spreadsheets/d/1xytwrrnzAdDwj8WFj5u6b5L5uYRsNheZVC4UcGqUzKQ/edit?gid=1891914664#gid=1891914664"", ""Faculty-wise All!A2:D""), ""SELECT Col4 WHERE Col1 = '"" &amp;A62 &amp;""'"")"),"#REF!")</f>
        <v>#REF!</v>
      </c>
      <c r="D62" s="15">
        <v>3.0</v>
      </c>
      <c r="E62" s="26" t="str">
        <f t="shared" si="2"/>
        <v>#REF!</v>
      </c>
      <c r="F62" s="32" t="str">
        <f t="shared" si="3"/>
        <v>#REF!</v>
      </c>
      <c r="G62" s="15">
        <f>IFERROR(__xludf.DUMMYFUNCTION("IF(COUNTIF(IMPORTRANGE(""https://docs.google.com/spreadsheets/d/1xytwrrnzAdDwj8WFj5u6b5L5uYRsNheZVC4UcGqUzKQ/edit"", ""'Full Time Load'!B:B""), ""*"" &amp; MID(A62, 2, FIND(""]"", A62) - 2) &amp; ""*"") &gt; 0, 1, 0)"),0.0)</f>
        <v>0</v>
      </c>
    </row>
    <row r="63" ht="15.75" customHeight="1">
      <c r="A63" s="15" t="str">
        <f>IFERROR(__xludf.DUMMYFUNCTION("""COMPUTED_VALUE"""),"[JABA] Jayed Bin Azad")</f>
        <v>[JABA] Jayed Bin Azad</v>
      </c>
      <c r="B63" s="15">
        <f t="shared" si="1"/>
        <v>0</v>
      </c>
      <c r="C63" s="15" t="str">
        <f>IFERROR(__xludf.DUMMYFUNCTION(" QUERY(IMPORTRANGE(""https://docs.google.com/spreadsheets/d/1xytwrrnzAdDwj8WFj5u6b5L5uYRsNheZVC4UcGqUzKQ/edit?gid=1891914664#gid=1891914664"", ""Faculty-wise All!A2:D""), ""SELECT Col4 WHERE Col1 = '"" &amp;A63 &amp;""'"")"),"#REF!")</f>
        <v>#REF!</v>
      </c>
      <c r="D63" s="15"/>
      <c r="E63" s="26" t="str">
        <f t="shared" si="2"/>
        <v>#REF!</v>
      </c>
      <c r="F63" s="32" t="str">
        <f t="shared" si="3"/>
        <v>#REF!</v>
      </c>
      <c r="G63" s="15">
        <f>IFERROR(__xludf.DUMMYFUNCTION("IF(COUNTIF(IMPORTRANGE(""https://docs.google.com/spreadsheets/d/1xytwrrnzAdDwj8WFj5u6b5L5uYRsNheZVC4UcGqUzKQ/edit"", ""'Full Time Load'!B:B""), ""*"" &amp; MID(A63, 2, FIND(""]"", A63) - 2) &amp; ""*"") &gt; 0, 1, 0)"),0.0)</f>
        <v>0</v>
      </c>
    </row>
    <row r="64" ht="15.75" customHeight="1">
      <c r="A64" s="15" t="str">
        <f>IFERROR(__xludf.DUMMYFUNCTION("""COMPUTED_VALUE"""),"[JAR] Mst. Jesiara Khatun")</f>
        <v>[JAR] Mst. Jesiara Khatun</v>
      </c>
      <c r="B64" s="15">
        <f t="shared" si="1"/>
        <v>0</v>
      </c>
      <c r="C64" s="15" t="str">
        <f>IFERROR(__xludf.DUMMYFUNCTION(" QUERY(IMPORTRANGE(""https://docs.google.com/spreadsheets/d/1xytwrrnzAdDwj8WFj5u6b5L5uYRsNheZVC4UcGqUzKQ/edit?gid=1891914664#gid=1891914664"", ""Faculty-wise All!A2:D""), ""SELECT Col4 WHERE Col1 = '"" &amp;A64 &amp;""'"")"),"#REF!")</f>
        <v>#REF!</v>
      </c>
      <c r="D64" s="15"/>
      <c r="E64" s="26" t="str">
        <f t="shared" si="2"/>
        <v>#REF!</v>
      </c>
      <c r="F64" s="32" t="str">
        <f t="shared" si="3"/>
        <v>#REF!</v>
      </c>
      <c r="G64" s="15">
        <f>IFERROR(__xludf.DUMMYFUNCTION("IF(COUNTIF(IMPORTRANGE(""https://docs.google.com/spreadsheets/d/1xytwrrnzAdDwj8WFj5u6b5L5uYRsNheZVC4UcGqUzKQ/edit"", ""'Full Time Load'!B:B""), ""*"" &amp; MID(A64, 2, FIND(""]"", A64) - 2) &amp; ""*"") &gt; 0, 1, 0)"),0.0)</f>
        <v>0</v>
      </c>
    </row>
    <row r="65" ht="15.75" customHeight="1">
      <c r="A65" s="15" t="str">
        <f>IFERROR(__xludf.DUMMYFUNCTION("""COMPUTED_VALUE"""),"[JNS] Jannatul Naim Sweety")</f>
        <v>[JNS] Jannatul Naim Sweety</v>
      </c>
      <c r="B65" s="15">
        <f t="shared" si="1"/>
        <v>0</v>
      </c>
      <c r="C65" s="15" t="str">
        <f>IFERROR(__xludf.DUMMYFUNCTION(" QUERY(IMPORTRANGE(""https://docs.google.com/spreadsheets/d/1xytwrrnzAdDwj8WFj5u6b5L5uYRsNheZVC4UcGqUzKQ/edit?gid=1891914664#gid=1891914664"", ""Faculty-wise All!A2:D""), ""SELECT Col4 WHERE Col1 = '"" &amp;A65 &amp;""'"")"),"#REF!")</f>
        <v>#REF!</v>
      </c>
      <c r="D65" s="15"/>
      <c r="E65" s="26" t="str">
        <f t="shared" si="2"/>
        <v>#REF!</v>
      </c>
      <c r="F65" s="32" t="str">
        <f t="shared" si="3"/>
        <v>#REF!</v>
      </c>
      <c r="G65" s="15">
        <f>IFERROR(__xludf.DUMMYFUNCTION("IF(COUNTIF(IMPORTRANGE(""https://docs.google.com/spreadsheets/d/1xytwrrnzAdDwj8WFj5u6b5L5uYRsNheZVC4UcGqUzKQ/edit"", ""'Full Time Load'!B:B""), ""*"" &amp; MID(A65, 2, FIND(""]"", A65) - 2) &amp; ""*"") &gt; 0, 1, 0)"),0.0)</f>
        <v>0</v>
      </c>
    </row>
    <row r="66" ht="15.75" customHeight="1">
      <c r="A66" s="15" t="str">
        <f>IFERROR(__xludf.DUMMYFUNCTION("""COMPUTED_VALUE"""),"[JRH] Md. Jillur Rahman Zihad")</f>
        <v>[JRH] Md. Jillur Rahman Zihad</v>
      </c>
      <c r="B66" s="15">
        <f t="shared" si="1"/>
        <v>0</v>
      </c>
      <c r="C66" s="15" t="str">
        <f>IFERROR(__xludf.DUMMYFUNCTION(" QUERY(IMPORTRANGE(""https://docs.google.com/spreadsheets/d/1xytwrrnzAdDwj8WFj5u6b5L5uYRsNheZVC4UcGqUzKQ/edit?gid=1891914664#gid=1891914664"", ""Faculty-wise All!A2:D""), ""SELECT Col4 WHERE Col1 = '"" &amp;A66 &amp;""'"")"),"#REF!")</f>
        <v>#REF!</v>
      </c>
      <c r="D66" s="15"/>
      <c r="E66" s="26" t="str">
        <f t="shared" si="2"/>
        <v>#REF!</v>
      </c>
      <c r="F66" s="32" t="str">
        <f t="shared" si="3"/>
        <v>#REF!</v>
      </c>
      <c r="G66" s="15">
        <f>IFERROR(__xludf.DUMMYFUNCTION("IF(COUNTIF(IMPORTRANGE(""https://docs.google.com/spreadsheets/d/1xytwrrnzAdDwj8WFj5u6b5L5uYRsNheZVC4UcGqUzKQ/edit"", ""'Full Time Load'!B:B""), ""*"" &amp; MID(A66, 2, FIND(""]"", A66) - 2) &amp; ""*"") &gt; 0, 1, 0)"),0.0)</f>
        <v>0</v>
      </c>
    </row>
    <row r="67" ht="15.75" customHeight="1">
      <c r="A67" s="15" t="str">
        <f>IFERROR(__xludf.DUMMYFUNCTION("""COMPUTED_VALUE"""),"[KFA] Kanis Fatema")</f>
        <v>[KFA] Kanis Fatema</v>
      </c>
      <c r="B67" s="15">
        <f t="shared" si="1"/>
        <v>0</v>
      </c>
      <c r="C67" s="15" t="str">
        <f>IFERROR(__xludf.DUMMYFUNCTION(" QUERY(IMPORTRANGE(""https://docs.google.com/spreadsheets/d/1xytwrrnzAdDwj8WFj5u6b5L5uYRsNheZVC4UcGqUzKQ/edit?gid=1891914664#gid=1891914664"", ""Faculty-wise All!A2:D""), ""SELECT Col4 WHERE Col1 = '"" &amp;A67 &amp;""'"")"),"#REF!")</f>
        <v>#REF!</v>
      </c>
      <c r="D67" s="15"/>
      <c r="E67" s="26" t="str">
        <f t="shared" si="2"/>
        <v>#REF!</v>
      </c>
      <c r="F67" s="32" t="str">
        <f t="shared" si="3"/>
        <v>#REF!</v>
      </c>
      <c r="G67" s="15">
        <f>IFERROR(__xludf.DUMMYFUNCTION("IF(COUNTIF(IMPORTRANGE(""https://docs.google.com/spreadsheets/d/1xytwrrnzAdDwj8WFj5u6b5L5uYRsNheZVC4UcGqUzKQ/edit"", ""'Full Time Load'!B:B""), ""*"" &amp; MID(A67, 2, FIND(""]"", A67) - 2) &amp; ""*"") &gt; 0, 1, 0)"),0.0)</f>
        <v>0</v>
      </c>
    </row>
    <row r="68" ht="15.75" customHeight="1">
      <c r="A68" s="15" t="str">
        <f>IFERROR(__xludf.DUMMYFUNCTION("""COMPUTED_VALUE"""),"[KHNA] Khaza Newaz Muhammad")</f>
        <v>[KHNA] Khaza Newaz Muhammad</v>
      </c>
      <c r="B68" s="15">
        <f t="shared" si="1"/>
        <v>0</v>
      </c>
      <c r="C68" s="15" t="str">
        <f>IFERROR(__xludf.DUMMYFUNCTION(" QUERY(IMPORTRANGE(""https://docs.google.com/spreadsheets/d/1xytwrrnzAdDwj8WFj5u6b5L5uYRsNheZVC4UcGqUzKQ/edit?gid=1891914664#gid=1891914664"", ""Faculty-wise All!A2:D""), ""SELECT Col4 WHERE Col1 = '"" &amp;A68 &amp;""'"")"),"#REF!")</f>
        <v>#REF!</v>
      </c>
      <c r="D68" s="15"/>
      <c r="E68" s="26" t="str">
        <f t="shared" si="2"/>
        <v>#REF!</v>
      </c>
      <c r="F68" s="32" t="str">
        <f t="shared" si="3"/>
        <v>#REF!</v>
      </c>
      <c r="G68" s="15">
        <f>IFERROR(__xludf.DUMMYFUNCTION("IF(COUNTIF(IMPORTRANGE(""https://docs.google.com/spreadsheets/d/1xytwrrnzAdDwj8WFj5u6b5L5uYRsNheZVC4UcGqUzKQ/edit"", ""'Full Time Load'!B:B""), ""*"" &amp; MID(A68, 2, FIND(""]"", A68) - 2) &amp; ""*"") &gt; 0, 1, 0)"),0.0)</f>
        <v>0</v>
      </c>
    </row>
    <row r="69" ht="15.75" customHeight="1">
      <c r="A69" s="15" t="str">
        <f>IFERROR(__xludf.DUMMYFUNCTION("""COMPUTED_VALUE"""),"[KMU] Khandaker Mohammad Mohi Uddin")</f>
        <v>[KMU] Khandaker Mohammad Mohi Uddin</v>
      </c>
      <c r="B69" s="15">
        <f t="shared" si="1"/>
        <v>0</v>
      </c>
      <c r="C69" s="15" t="str">
        <f>IFERROR(__xludf.DUMMYFUNCTION(" QUERY(IMPORTRANGE(""https://docs.google.com/spreadsheets/d/1xytwrrnzAdDwj8WFj5u6b5L5uYRsNheZVC4UcGqUzKQ/edit?gid=1891914664#gid=1891914664"", ""Faculty-wise All!A2:D""), ""SELECT Col4 WHERE Col1 = '"" &amp;A69 &amp;""'"")"),"#REF!")</f>
        <v>#REF!</v>
      </c>
      <c r="D69" s="15">
        <v>1.0</v>
      </c>
      <c r="E69" s="26" t="str">
        <f t="shared" si="2"/>
        <v>#REF!</v>
      </c>
      <c r="F69" s="32" t="str">
        <f t="shared" si="3"/>
        <v>#REF!</v>
      </c>
      <c r="G69" s="15">
        <f>IFERROR(__xludf.DUMMYFUNCTION("IF(COUNTIF(IMPORTRANGE(""https://docs.google.com/spreadsheets/d/1xytwrrnzAdDwj8WFj5u6b5L5uYRsNheZVC4UcGqUzKQ/edit"", ""'Full Time Load'!B:B""), ""*"" &amp; MID(A69, 2, FIND(""]"", A69) - 2) &amp; ""*"") &gt; 0, 1, 0)"),0.0)</f>
        <v>0</v>
      </c>
    </row>
    <row r="70" ht="15.75" customHeight="1">
      <c r="A70" s="15" t="str">
        <f>IFERROR(__xludf.DUMMYFUNCTION("""COMPUTED_VALUE"""),"[KRH] Khondker Rawan Hamid")</f>
        <v>[KRH] Khondker Rawan Hamid</v>
      </c>
      <c r="B70" s="15">
        <f t="shared" si="1"/>
        <v>0</v>
      </c>
      <c r="C70" s="15" t="str">
        <f>IFERROR(__xludf.DUMMYFUNCTION(" QUERY(IMPORTRANGE(""https://docs.google.com/spreadsheets/d/1xytwrrnzAdDwj8WFj5u6b5L5uYRsNheZVC4UcGqUzKQ/edit?gid=1891914664#gid=1891914664"", ""Faculty-wise All!A2:D""), ""SELECT Col4 WHERE Col1 = '"" &amp;A70 &amp;""'"")"),"#REF!")</f>
        <v>#REF!</v>
      </c>
      <c r="D70" s="15"/>
      <c r="E70" s="26" t="str">
        <f t="shared" si="2"/>
        <v>#REF!</v>
      </c>
      <c r="F70" s="32" t="str">
        <f t="shared" si="3"/>
        <v>#REF!</v>
      </c>
      <c r="G70" s="15">
        <f>IFERROR(__xludf.DUMMYFUNCTION("IF(COUNTIF(IMPORTRANGE(""https://docs.google.com/spreadsheets/d/1xytwrrnzAdDwj8WFj5u6b5L5uYRsNheZVC4UcGqUzKQ/edit"", ""'Full Time Load'!B:B""), ""*"" &amp; MID(A70, 2, FIND(""]"", A70) - 2) &amp; ""*"") &gt; 0, 1, 0)"),0.0)</f>
        <v>0</v>
      </c>
    </row>
    <row r="71" ht="15.75" customHeight="1">
      <c r="A71" s="15" t="str">
        <f>IFERROR(__xludf.DUMMYFUNCTION("""COMPUTED_VALUE"""),"[LHD] Al Hasib Mahamud")</f>
        <v>[LHD] Al Hasib Mahamud</v>
      </c>
      <c r="B71" s="15">
        <f t="shared" si="1"/>
        <v>0</v>
      </c>
      <c r="C71" s="15" t="str">
        <f>IFERROR(__xludf.DUMMYFUNCTION(" QUERY(IMPORTRANGE(""https://docs.google.com/spreadsheets/d/1xytwrrnzAdDwj8WFj5u6b5L5uYRsNheZVC4UcGqUzKQ/edit?gid=1891914664#gid=1891914664"", ""Faculty-wise All!A2:D""), ""SELECT Col4 WHERE Col1 = '"" &amp;A71 &amp;""'"")"),"#REF!")</f>
        <v>#REF!</v>
      </c>
      <c r="D71" s="15"/>
      <c r="E71" s="26" t="str">
        <f t="shared" si="2"/>
        <v>#REF!</v>
      </c>
      <c r="F71" s="32" t="str">
        <f t="shared" si="3"/>
        <v>#REF!</v>
      </c>
      <c r="G71" s="15">
        <f>IFERROR(__xludf.DUMMYFUNCTION("IF(COUNTIF(IMPORTRANGE(""https://docs.google.com/spreadsheets/d/1xytwrrnzAdDwj8WFj5u6b5L5uYRsNheZVC4UcGqUzKQ/edit"", ""'Full Time Load'!B:B""), ""*"" &amp; MID(A71, 2, FIND(""]"", A71) - 2) &amp; ""*"") &gt; 0, 1, 0)"),0.0)</f>
        <v>0</v>
      </c>
    </row>
    <row r="72" ht="15.75" customHeight="1">
      <c r="A72" s="15" t="str">
        <f>IFERROR(__xludf.DUMMYFUNCTION("""COMPUTED_VALUE"""),"[MABH] Mahdi Bhuiyan")</f>
        <v>[MABH] Mahdi Bhuiyan</v>
      </c>
      <c r="B72" s="15">
        <f t="shared" si="1"/>
        <v>0</v>
      </c>
      <c r="C72" s="15" t="str">
        <f>IFERROR(__xludf.DUMMYFUNCTION(" QUERY(IMPORTRANGE(""https://docs.google.com/spreadsheets/d/1xytwrrnzAdDwj8WFj5u6b5L5uYRsNheZVC4UcGqUzKQ/edit?gid=1891914664#gid=1891914664"", ""Faculty-wise All!A2:D""), ""SELECT Col4 WHERE Col1 = '"" &amp;A72 &amp;""'"")"),"#REF!")</f>
        <v>#REF!</v>
      </c>
      <c r="D72" s="15"/>
      <c r="E72" s="26" t="str">
        <f t="shared" si="2"/>
        <v>#REF!</v>
      </c>
      <c r="F72" s="32" t="str">
        <f t="shared" si="3"/>
        <v>#REF!</v>
      </c>
      <c r="G72" s="15">
        <f>IFERROR(__xludf.DUMMYFUNCTION("IF(COUNTIF(IMPORTRANGE(""https://docs.google.com/spreadsheets/d/1xytwrrnzAdDwj8WFj5u6b5L5uYRsNheZVC4UcGqUzKQ/edit"", ""'Full Time Load'!B:B""), ""*"" &amp; MID(A72, 2, FIND(""]"", A72) - 2) &amp; ""*"") &gt; 0, 1, 0)"),0.0)</f>
        <v>0</v>
      </c>
    </row>
    <row r="73" ht="15.75" customHeight="1">
      <c r="A73" s="15" t="str">
        <f>IFERROR(__xludf.DUMMYFUNCTION("""COMPUTED_VALUE"""),"[MAC] Mohammad Ahsan Chowdhury")</f>
        <v>[MAC] Mohammad Ahsan Chowdhury</v>
      </c>
      <c r="B73" s="15">
        <f t="shared" si="1"/>
        <v>0</v>
      </c>
      <c r="C73" s="15" t="str">
        <f>IFERROR(__xludf.DUMMYFUNCTION(" QUERY(IMPORTRANGE(""https://docs.google.com/spreadsheets/d/1xytwrrnzAdDwj8WFj5u6b5L5uYRsNheZVC4UcGqUzKQ/edit?gid=1891914664#gid=1891914664"", ""Faculty-wise All!A2:D""), ""SELECT Col4 WHERE Col1 = '"" &amp;A73 &amp;""'"")"),"#REF!")</f>
        <v>#REF!</v>
      </c>
      <c r="D73" s="15"/>
      <c r="E73" s="26" t="str">
        <f t="shared" si="2"/>
        <v>#REF!</v>
      </c>
      <c r="F73" s="32" t="str">
        <f t="shared" si="3"/>
        <v>#REF!</v>
      </c>
      <c r="G73" s="15">
        <f>IFERROR(__xludf.DUMMYFUNCTION("IF(COUNTIF(IMPORTRANGE(""https://docs.google.com/spreadsheets/d/1xytwrrnzAdDwj8WFj5u6b5L5uYRsNheZVC4UcGqUzKQ/edit"", ""'Full Time Load'!B:B""), ""*"" &amp; MID(A73, 2, FIND(""]"", A73) - 2) &amp; ""*"") &gt; 0, 1, 0)"),0.0)</f>
        <v>0</v>
      </c>
    </row>
    <row r="74" ht="15.75" customHeight="1">
      <c r="A74" s="15" t="str">
        <f>IFERROR(__xludf.DUMMYFUNCTION("""COMPUTED_VALUE"""),"[MAHB] Mahbub Hasan")</f>
        <v>[MAHB] Mahbub Hasan</v>
      </c>
      <c r="B74" s="15">
        <f t="shared" si="1"/>
        <v>0</v>
      </c>
      <c r="C74" s="15" t="str">
        <f>IFERROR(__xludf.DUMMYFUNCTION(" QUERY(IMPORTRANGE(""https://docs.google.com/spreadsheets/d/1xytwrrnzAdDwj8WFj5u6b5L5uYRsNheZVC4UcGqUzKQ/edit?gid=1891914664#gid=1891914664"", ""Faculty-wise All!A2:D""), ""SELECT Col4 WHERE Col1 = '"" &amp;A74 &amp;""'"")"),"#REF!")</f>
        <v>#REF!</v>
      </c>
      <c r="D74" s="15"/>
      <c r="E74" s="26" t="str">
        <f t="shared" si="2"/>
        <v>#REF!</v>
      </c>
      <c r="F74" s="32" t="str">
        <f t="shared" si="3"/>
        <v>#REF!</v>
      </c>
      <c r="G74" s="15">
        <f>IFERROR(__xludf.DUMMYFUNCTION("IF(COUNTIF(IMPORTRANGE(""https://docs.google.com/spreadsheets/d/1xytwrrnzAdDwj8WFj5u6b5L5uYRsNheZVC4UcGqUzKQ/edit"", ""'Full Time Load'!B:B""), ""*"" &amp; MID(A74, 2, FIND(""]"", A74) - 2) &amp; ""*"") &gt; 0, 1, 0)"),0.0)</f>
        <v>0</v>
      </c>
    </row>
    <row r="75" ht="15.75" customHeight="1">
      <c r="A75" s="15" t="str">
        <f>IFERROR(__xludf.DUMMYFUNCTION("""COMPUTED_VALUE"""),"[MAIM] Maisha Muntaha")</f>
        <v>[MAIM] Maisha Muntaha</v>
      </c>
      <c r="B75" s="15">
        <f t="shared" si="1"/>
        <v>0</v>
      </c>
      <c r="C75" s="15" t="str">
        <f>IFERROR(__xludf.DUMMYFUNCTION(" QUERY(IMPORTRANGE(""https://docs.google.com/spreadsheets/d/1xytwrrnzAdDwj8WFj5u6b5L5uYRsNheZVC4UcGqUzKQ/edit?gid=1891914664#gid=1891914664"", ""Faculty-wise All!A2:D""), ""SELECT Col4 WHERE Col1 = '"" &amp;A75 &amp;""'"")"),"#REF!")</f>
        <v>#REF!</v>
      </c>
      <c r="D75" s="15"/>
      <c r="E75" s="26" t="str">
        <f t="shared" si="2"/>
        <v>#REF!</v>
      </c>
      <c r="F75" s="32" t="str">
        <f t="shared" si="3"/>
        <v>#REF!</v>
      </c>
      <c r="G75" s="15">
        <f>IFERROR(__xludf.DUMMYFUNCTION("IF(COUNTIF(IMPORTRANGE(""https://docs.google.com/spreadsheets/d/1xytwrrnzAdDwj8WFj5u6b5L5uYRsNheZVC4UcGqUzKQ/edit"", ""'Full Time Load'!B:B""), ""*"" &amp; MID(A75, 2, FIND(""]"", A75) - 2) &amp; ""*"") &gt; 0, 1, 0)"),0.0)</f>
        <v>0</v>
      </c>
    </row>
    <row r="76" ht="15.75" customHeight="1">
      <c r="A76" s="15" t="str">
        <f>IFERROR(__xludf.DUMMYFUNCTION("""COMPUTED_VALUE"""),"[MAJ] Marjahan Akter Jhumu")</f>
        <v>[MAJ] Marjahan Akter Jhumu</v>
      </c>
      <c r="B76" s="15">
        <f t="shared" si="1"/>
        <v>0</v>
      </c>
      <c r="C76" s="15" t="str">
        <f>IFERROR(__xludf.DUMMYFUNCTION(" QUERY(IMPORTRANGE(""https://docs.google.com/spreadsheets/d/1xytwrrnzAdDwj8WFj5u6b5L5uYRsNheZVC4UcGqUzKQ/edit?gid=1891914664#gid=1891914664"", ""Faculty-wise All!A2:D""), ""SELECT Col4 WHERE Col1 = '"" &amp;A76 &amp;""'"")"),"#REF!")</f>
        <v>#REF!</v>
      </c>
      <c r="D76" s="15"/>
      <c r="E76" s="26" t="str">
        <f t="shared" si="2"/>
        <v>#REF!</v>
      </c>
      <c r="F76" s="32" t="str">
        <f t="shared" si="3"/>
        <v>#REF!</v>
      </c>
      <c r="G76" s="15">
        <f>IFERROR(__xludf.DUMMYFUNCTION("IF(COUNTIF(IMPORTRANGE(""https://docs.google.com/spreadsheets/d/1xytwrrnzAdDwj8WFj5u6b5L5uYRsNheZVC4UcGqUzKQ/edit"", ""'Full Time Load'!B:B""), ""*"" &amp; MID(A76, 2, FIND(""]"", A76) - 2) &amp; ""*"") &gt; 0, 1, 0)"),0.0)</f>
        <v>0</v>
      </c>
    </row>
    <row r="77" ht="15.75" customHeight="1">
      <c r="A77" s="15" t="str">
        <f>IFERROR(__xludf.DUMMYFUNCTION("""COMPUTED_VALUE"""),"[MAKR] Dr. Mohammed Ashikur Rahman")</f>
        <v>[MAKR] Dr. Mohammed Ashikur Rahman</v>
      </c>
      <c r="B77" s="15">
        <f t="shared" si="1"/>
        <v>0</v>
      </c>
      <c r="C77" s="15" t="str">
        <f>IFERROR(__xludf.DUMMYFUNCTION(" QUERY(IMPORTRANGE(""https://docs.google.com/spreadsheets/d/1xytwrrnzAdDwj8WFj5u6b5L5uYRsNheZVC4UcGqUzKQ/edit?gid=1891914664#gid=1891914664"", ""Faculty-wise All!A2:D""), ""SELECT Col4 WHERE Col1 = '"" &amp;A77 &amp;""'"")"),"#REF!")</f>
        <v>#REF!</v>
      </c>
      <c r="D77" s="15">
        <v>4.0</v>
      </c>
      <c r="E77" s="26" t="str">
        <f t="shared" si="2"/>
        <v>#REF!</v>
      </c>
      <c r="F77" s="32" t="str">
        <f t="shared" si="3"/>
        <v>#REF!</v>
      </c>
      <c r="G77" s="15">
        <f>IFERROR(__xludf.DUMMYFUNCTION("IF(COUNTIF(IMPORTRANGE(""https://docs.google.com/spreadsheets/d/1xytwrrnzAdDwj8WFj5u6b5L5uYRsNheZVC4UcGqUzKQ/edit"", ""'Full Time Load'!B:B""), ""*"" &amp; MID(A77, 2, FIND(""]"", A77) - 2) &amp; ""*"") &gt; 0, 1, 0)"),0.0)</f>
        <v>0</v>
      </c>
    </row>
    <row r="78" ht="15.75" customHeight="1">
      <c r="A78" s="15" t="str">
        <f>IFERROR(__xludf.DUMMYFUNCTION("""COMPUTED_VALUE"""),"[MALN] Md Alamin")</f>
        <v>[MALN] Md Alamin</v>
      </c>
      <c r="B78" s="15">
        <f t="shared" si="1"/>
        <v>0</v>
      </c>
      <c r="C78" s="15" t="str">
        <f>IFERROR(__xludf.DUMMYFUNCTION(" QUERY(IMPORTRANGE(""https://docs.google.com/spreadsheets/d/1xytwrrnzAdDwj8WFj5u6b5L5uYRsNheZVC4UcGqUzKQ/edit?gid=1891914664#gid=1891914664"", ""Faculty-wise All!A2:D""), ""SELECT Col4 WHERE Col1 = '"" &amp;A78 &amp;""'"")"),"#REF!")</f>
        <v>#REF!</v>
      </c>
      <c r="D78" s="15"/>
      <c r="E78" s="26" t="str">
        <f t="shared" si="2"/>
        <v>#REF!</v>
      </c>
      <c r="F78" s="32" t="str">
        <f t="shared" si="3"/>
        <v>#REF!</v>
      </c>
      <c r="G78" s="15">
        <f>IFERROR(__xludf.DUMMYFUNCTION("IF(COUNTIF(IMPORTRANGE(""https://docs.google.com/spreadsheets/d/1xytwrrnzAdDwj8WFj5u6b5L5uYRsNheZVC4UcGqUzKQ/edit"", ""'Full Time Load'!B:B""), ""*"" &amp; MID(A78, 2, FIND(""]"", A78) - 2) &amp; ""*"") &gt; 0, 1, 0)"),0.0)</f>
        <v>0</v>
      </c>
    </row>
    <row r="79" ht="15.75" customHeight="1">
      <c r="A79" s="15" t="str">
        <f>IFERROR(__xludf.DUMMYFUNCTION("""COMPUTED_VALUE"""),"[MAMA] Mayukh Mallick")</f>
        <v>[MAMA] Mayukh Mallick</v>
      </c>
      <c r="B79" s="15">
        <f t="shared" si="1"/>
        <v>0</v>
      </c>
      <c r="C79" s="15" t="str">
        <f>IFERROR(__xludf.DUMMYFUNCTION(" QUERY(IMPORTRANGE(""https://docs.google.com/spreadsheets/d/1xytwrrnzAdDwj8WFj5u6b5L5uYRsNheZVC4UcGqUzKQ/edit?gid=1891914664#gid=1891914664"", ""Faculty-wise All!A2:D""), ""SELECT Col4 WHERE Col1 = '"" &amp;A79 &amp;""'"")"),"#REF!")</f>
        <v>#REF!</v>
      </c>
      <c r="D79" s="15"/>
      <c r="E79" s="26" t="str">
        <f t="shared" si="2"/>
        <v>#REF!</v>
      </c>
      <c r="F79" s="32" t="str">
        <f t="shared" si="3"/>
        <v>#REF!</v>
      </c>
      <c r="G79" s="15">
        <f>IFERROR(__xludf.DUMMYFUNCTION("IF(COUNTIF(IMPORTRANGE(""https://docs.google.com/spreadsheets/d/1xytwrrnzAdDwj8WFj5u6b5L5uYRsNheZVC4UcGqUzKQ/edit"", ""'Full Time Load'!B:B""), ""*"" &amp; MID(A79, 2, FIND(""]"", A79) - 2) &amp; ""*"") &gt; 0, 1, 0)"),0.0)</f>
        <v>0</v>
      </c>
    </row>
    <row r="80" ht="15.75" customHeight="1">
      <c r="A80" s="15" t="str">
        <f>IFERROR(__xludf.DUMMYFUNCTION("""COMPUTED_VALUE"""),"[MAQ] Mohammad Ariful Huq")</f>
        <v>[MAQ] Mohammad Ariful Huq</v>
      </c>
      <c r="B80" s="15">
        <f t="shared" si="1"/>
        <v>0</v>
      </c>
      <c r="C80" s="15" t="str">
        <f>IFERROR(__xludf.DUMMYFUNCTION(" QUERY(IMPORTRANGE(""https://docs.google.com/spreadsheets/d/1xytwrrnzAdDwj8WFj5u6b5L5uYRsNheZVC4UcGqUzKQ/edit?gid=1891914664#gid=1891914664"", ""Faculty-wise All!A2:D""), ""SELECT Col4 WHERE Col1 = '"" &amp;A80 &amp;""'"")"),"#REF!")</f>
        <v>#REF!</v>
      </c>
      <c r="D80" s="15"/>
      <c r="E80" s="26" t="str">
        <f t="shared" si="2"/>
        <v>#REF!</v>
      </c>
      <c r="F80" s="32" t="str">
        <f t="shared" si="3"/>
        <v>#REF!</v>
      </c>
      <c r="G80" s="15">
        <f>IFERROR(__xludf.DUMMYFUNCTION("IF(COUNTIF(IMPORTRANGE(""https://docs.google.com/spreadsheets/d/1xytwrrnzAdDwj8WFj5u6b5L5uYRsNheZVC4UcGqUzKQ/edit"", ""'Full Time Load'!B:B""), ""*"" &amp; MID(A80, 2, FIND(""]"", A80) - 2) &amp; ""*"") &gt; 0, 1, 0)"),0.0)</f>
        <v>0</v>
      </c>
    </row>
    <row r="81" ht="15.75" customHeight="1">
      <c r="A81" s="15" t="str">
        <f>IFERROR(__xludf.DUMMYFUNCTION("""COMPUTED_VALUE"""),"[MAR] Md. Anowar Hossain")</f>
        <v>[MAR] Md. Anowar Hossain</v>
      </c>
      <c r="B81" s="15">
        <f t="shared" si="1"/>
        <v>0</v>
      </c>
      <c r="C81" s="15" t="str">
        <f>IFERROR(__xludf.DUMMYFUNCTION(" QUERY(IMPORTRANGE(""https://docs.google.com/spreadsheets/d/1xytwrrnzAdDwj8WFj5u6b5L5uYRsNheZVC4UcGqUzKQ/edit?gid=1891914664#gid=1891914664"", ""Faculty-wise All!A2:D""), ""SELECT Col4 WHERE Col1 = '"" &amp;A81 &amp;""'"")"),"#REF!")</f>
        <v>#REF!</v>
      </c>
      <c r="D81" s="15"/>
      <c r="E81" s="26" t="str">
        <f t="shared" si="2"/>
        <v>#REF!</v>
      </c>
      <c r="F81" s="32" t="str">
        <f t="shared" si="3"/>
        <v>#REF!</v>
      </c>
      <c r="G81" s="15">
        <f>IFERROR(__xludf.DUMMYFUNCTION("IF(COUNTIF(IMPORTRANGE(""https://docs.google.com/spreadsheets/d/1xytwrrnzAdDwj8WFj5u6b5L5uYRsNheZVC4UcGqUzKQ/edit"", ""'Full Time Load'!B:B""), ""*"" &amp; MID(A81, 2, FIND(""]"", A81) - 2) &amp; ""*"") &gt; 0, 1, 0)"),0.0)</f>
        <v>0</v>
      </c>
    </row>
    <row r="82" ht="15.75" customHeight="1">
      <c r="A82" s="15" t="str">
        <f>IFERROR(__xludf.DUMMYFUNCTION("""COMPUTED_VALUE"""),"[MDAY] Md. Ayon Mia")</f>
        <v>[MDAY] Md. Ayon Mia</v>
      </c>
      <c r="B82" s="15">
        <f t="shared" si="1"/>
        <v>0</v>
      </c>
      <c r="C82" s="15" t="str">
        <f>IFERROR(__xludf.DUMMYFUNCTION(" QUERY(IMPORTRANGE(""https://docs.google.com/spreadsheets/d/1xytwrrnzAdDwj8WFj5u6b5L5uYRsNheZVC4UcGqUzKQ/edit?gid=1891914664#gid=1891914664"", ""Faculty-wise All!A2:D""), ""SELECT Col4 WHERE Col1 = '"" &amp;A82 &amp;""'"")"),"#REF!")</f>
        <v>#REF!</v>
      </c>
      <c r="D82" s="15"/>
      <c r="E82" s="26" t="str">
        <f t="shared" si="2"/>
        <v>#REF!</v>
      </c>
      <c r="F82" s="32" t="str">
        <f t="shared" si="3"/>
        <v>#REF!</v>
      </c>
      <c r="G82" s="15">
        <f>IFERROR(__xludf.DUMMYFUNCTION("IF(COUNTIF(IMPORTRANGE(""https://docs.google.com/spreadsheets/d/1xytwrrnzAdDwj8WFj5u6b5L5uYRsNheZVC4UcGqUzKQ/edit"", ""'Full Time Load'!B:B""), ""*"" &amp; MID(A82, 2, FIND(""]"", A82) - 2) &amp; ""*"") &gt; 0, 1, 0)"),0.0)</f>
        <v>0</v>
      </c>
    </row>
    <row r="83" ht="15.75" customHeight="1">
      <c r="A83" s="15" t="str">
        <f>IFERROR(__xludf.DUMMYFUNCTION("""COMPUTED_VALUE"""),"[MDAZ] Md. Asadujjaman")</f>
        <v>[MDAZ] Md. Asadujjaman</v>
      </c>
      <c r="B83" s="15">
        <f t="shared" si="1"/>
        <v>0</v>
      </c>
      <c r="C83" s="15" t="str">
        <f>IFERROR(__xludf.DUMMYFUNCTION(" QUERY(IMPORTRANGE(""https://docs.google.com/spreadsheets/d/1xytwrrnzAdDwj8WFj5u6b5L5uYRsNheZVC4UcGqUzKQ/edit?gid=1891914664#gid=1891914664"", ""Faculty-wise All!A2:D""), ""SELECT Col4 WHERE Col1 = '"" &amp;A83 &amp;""'"")"),"#REF!")</f>
        <v>#REF!</v>
      </c>
      <c r="D83" s="15"/>
      <c r="E83" s="26" t="str">
        <f t="shared" si="2"/>
        <v>#REF!</v>
      </c>
      <c r="F83" s="32" t="str">
        <f t="shared" si="3"/>
        <v>#REF!</v>
      </c>
      <c r="G83" s="15">
        <f>IFERROR(__xludf.DUMMYFUNCTION("IF(COUNTIF(IMPORTRANGE(""https://docs.google.com/spreadsheets/d/1xytwrrnzAdDwj8WFj5u6b5L5uYRsNheZVC4UcGqUzKQ/edit"", ""'Full Time Load'!B:B""), ""*"" &amp; MID(A83, 2, FIND(""]"", A83) - 2) &amp; ""*"") &gt; 0, 1, 0)"),0.0)</f>
        <v>0</v>
      </c>
    </row>
    <row r="84" ht="15.75" customHeight="1">
      <c r="A84" s="15" t="str">
        <f>IFERROR(__xludf.DUMMYFUNCTION("""COMPUTED_VALUE"""),"[MDH] Md. Mojaammel Haque")</f>
        <v>[MDH] Md. Mojaammel Haque</v>
      </c>
      <c r="B84" s="15">
        <f t="shared" si="1"/>
        <v>0</v>
      </c>
      <c r="C84" s="15" t="str">
        <f>IFERROR(__xludf.DUMMYFUNCTION(" QUERY(IMPORTRANGE(""https://docs.google.com/spreadsheets/d/1xytwrrnzAdDwj8WFj5u6b5L5uYRsNheZVC4UcGqUzKQ/edit?gid=1891914664#gid=1891914664"", ""Faculty-wise All!A2:D""), ""SELECT Col4 WHERE Col1 = '"" &amp;A84 &amp;""'"")"),"#REF!")</f>
        <v>#REF!</v>
      </c>
      <c r="D84" s="15"/>
      <c r="E84" s="26" t="str">
        <f t="shared" si="2"/>
        <v>#REF!</v>
      </c>
      <c r="F84" s="32" t="str">
        <f t="shared" si="3"/>
        <v>#REF!</v>
      </c>
      <c r="G84" s="15">
        <v>0.0</v>
      </c>
    </row>
    <row r="85" ht="15.75" customHeight="1">
      <c r="A85" s="15" t="str">
        <f>IFERROR(__xludf.DUMMYFUNCTION("""COMPUTED_VALUE"""),"[MDHB] Mahdin Mahboob")</f>
        <v>[MDHB] Mahdin Mahboob</v>
      </c>
      <c r="B85" s="15">
        <f t="shared" si="1"/>
        <v>0</v>
      </c>
      <c r="C85" s="15" t="str">
        <f>IFERROR(__xludf.DUMMYFUNCTION(" QUERY(IMPORTRANGE(""https://docs.google.com/spreadsheets/d/1xytwrrnzAdDwj8WFj5u6b5L5uYRsNheZVC4UcGqUzKQ/edit?gid=1891914664#gid=1891914664"", ""Faculty-wise All!A2:D""), ""SELECT Col4 WHERE Col1 = '"" &amp;A85 &amp;""'"")"),"#REF!")</f>
        <v>#REF!</v>
      </c>
      <c r="D85" s="15"/>
      <c r="E85" s="26" t="str">
        <f t="shared" si="2"/>
        <v>#REF!</v>
      </c>
      <c r="F85" s="32" t="str">
        <f t="shared" si="3"/>
        <v>#REF!</v>
      </c>
      <c r="G85" s="15">
        <f>IFERROR(__xludf.DUMMYFUNCTION("IF(COUNTIF(IMPORTRANGE(""https://docs.google.com/spreadsheets/d/1xytwrrnzAdDwj8WFj5u6b5L5uYRsNheZVC4UcGqUzKQ/edit"", ""'Full Time Load'!B:B""), ""*"" &amp; MID(A85, 2, FIND(""]"", A85) - 2) &amp; ""*"") &gt; 0, 1, 0)"),0.0)</f>
        <v>0</v>
      </c>
    </row>
    <row r="86" ht="15.75" customHeight="1">
      <c r="A86" s="15" t="str">
        <f>IFERROR(__xludf.DUMMYFUNCTION("""COMPUTED_VALUE"""),"[MDI] Md. Asraful Islam")</f>
        <v>[MDI] Md. Asraful Islam</v>
      </c>
      <c r="B86" s="15">
        <f t="shared" si="1"/>
        <v>0</v>
      </c>
      <c r="C86" s="15" t="str">
        <f>IFERROR(__xludf.DUMMYFUNCTION(" QUERY(IMPORTRANGE(""https://docs.google.com/spreadsheets/d/1xytwrrnzAdDwj8WFj5u6b5L5uYRsNheZVC4UcGqUzKQ/edit?gid=1891914664#gid=1891914664"", ""Faculty-wise All!A2:D""), ""SELECT Col4 WHERE Col1 = '"" &amp;A86 &amp;""'"")"),"#REF!")</f>
        <v>#REF!</v>
      </c>
      <c r="D86" s="15"/>
      <c r="E86" s="26" t="str">
        <f t="shared" si="2"/>
        <v>#REF!</v>
      </c>
      <c r="F86" s="32" t="str">
        <f t="shared" si="3"/>
        <v>#REF!</v>
      </c>
      <c r="G86" s="15">
        <f>IFERROR(__xludf.DUMMYFUNCTION("IF(COUNTIF(IMPORTRANGE(""https://docs.google.com/spreadsheets/d/1xytwrrnzAdDwj8WFj5u6b5L5uYRsNheZVC4UcGqUzKQ/edit"", ""'Full Time Load'!B:B""), ""*"" &amp; MID(A86, 2, FIND(""]"", A86) - 2) &amp; ""*"") &gt; 0, 1, 0)"),0.0)</f>
        <v>0</v>
      </c>
    </row>
    <row r="87" ht="15.75" customHeight="1">
      <c r="A87" s="15" t="str">
        <f>IFERROR(__xludf.DUMMYFUNCTION("""COMPUTED_VALUE"""),"[MDSM] Md. Shanian Moed")</f>
        <v>[MDSM] Md. Shanian Moed</v>
      </c>
      <c r="B87" s="15">
        <f t="shared" si="1"/>
        <v>0</v>
      </c>
      <c r="C87" s="15" t="str">
        <f>IFERROR(__xludf.DUMMYFUNCTION(" QUERY(IMPORTRANGE(""https://docs.google.com/spreadsheets/d/1xytwrrnzAdDwj8WFj5u6b5L5uYRsNheZVC4UcGqUzKQ/edit?gid=1891914664#gid=1891914664"", ""Faculty-wise All!A2:D""), ""SELECT Col4 WHERE Col1 = '"" &amp;A87 &amp;""'"")"),"#REF!")</f>
        <v>#REF!</v>
      </c>
      <c r="D87" s="15"/>
      <c r="E87" s="26" t="str">
        <f t="shared" si="2"/>
        <v>#REF!</v>
      </c>
      <c r="F87" s="32" t="str">
        <f t="shared" si="3"/>
        <v>#REF!</v>
      </c>
      <c r="G87" s="15">
        <f>IFERROR(__xludf.DUMMYFUNCTION("IF(COUNTIF(IMPORTRANGE(""https://docs.google.com/spreadsheets/d/1xytwrrnzAdDwj8WFj5u6b5L5uYRsNheZVC4UcGqUzKQ/edit"", ""'Full Time Load'!B:B""), ""*"" &amp; MID(A87, 2, FIND(""]"", A87) - 2) &amp; ""*"") &gt; 0, 1, 0)"),0.0)</f>
        <v>0</v>
      </c>
    </row>
    <row r="88" ht="15.75" customHeight="1">
      <c r="A88" s="15" t="str">
        <f>IFERROR(__xludf.DUMMYFUNCTION("""COMPUTED_VALUE"""),"[MDSR] Mohammad Shohel Rana")</f>
        <v>[MDSR] Mohammad Shohel Rana</v>
      </c>
      <c r="B88" s="15">
        <f t="shared" si="1"/>
        <v>0</v>
      </c>
      <c r="C88" s="15" t="str">
        <f>IFERROR(__xludf.DUMMYFUNCTION(" QUERY(IMPORTRANGE(""https://docs.google.com/spreadsheets/d/1xytwrrnzAdDwj8WFj5u6b5L5uYRsNheZVC4UcGqUzKQ/edit?gid=1891914664#gid=1891914664"", ""Faculty-wise All!A2:D""), ""SELECT Col4 WHERE Col1 = '"" &amp;A88 &amp;""'"")"),"#REF!")</f>
        <v>#REF!</v>
      </c>
      <c r="D88" s="15"/>
      <c r="E88" s="26" t="str">
        <f t="shared" si="2"/>
        <v>#REF!</v>
      </c>
      <c r="F88" s="32" t="str">
        <f t="shared" si="3"/>
        <v>#REF!</v>
      </c>
      <c r="G88" s="15">
        <f>IFERROR(__xludf.DUMMYFUNCTION("IF(COUNTIF(IMPORTRANGE(""https://docs.google.com/spreadsheets/d/1xytwrrnzAdDwj8WFj5u6b5L5uYRsNheZVC4UcGqUzKQ/edit"", ""'Full Time Load'!B:B""), ""*"" &amp; MID(A88, 2, FIND(""]"", A88) - 2) &amp; ""*"") &gt; 0, 1, 0)"),0.0)</f>
        <v>0</v>
      </c>
    </row>
    <row r="89" ht="15.75" customHeight="1">
      <c r="A89" s="15" t="str">
        <f>IFERROR(__xludf.DUMMYFUNCTION("""COMPUTED_VALUE"""),"[MEAH] Mehedi Ahamed")</f>
        <v>[MEAH] Mehedi Ahamed</v>
      </c>
      <c r="B89" s="15">
        <f t="shared" si="1"/>
        <v>0</v>
      </c>
      <c r="C89" s="15" t="str">
        <f>IFERROR(__xludf.DUMMYFUNCTION(" QUERY(IMPORTRANGE(""https://docs.google.com/spreadsheets/d/1xytwrrnzAdDwj8WFj5u6b5L5uYRsNheZVC4UcGqUzKQ/edit?gid=1891914664#gid=1891914664"", ""Faculty-wise All!A2:D""), ""SELECT Col4 WHERE Col1 = '"" &amp;A89 &amp;""'"")"),"#REF!")</f>
        <v>#REF!</v>
      </c>
      <c r="D89" s="15"/>
      <c r="E89" s="26" t="str">
        <f t="shared" si="2"/>
        <v>#REF!</v>
      </c>
      <c r="F89" s="32" t="str">
        <f t="shared" si="3"/>
        <v>#REF!</v>
      </c>
      <c r="G89" s="15">
        <f>IFERROR(__xludf.DUMMYFUNCTION("IF(COUNTIF(IMPORTRANGE(""https://docs.google.com/spreadsheets/d/1xytwrrnzAdDwj8WFj5u6b5L5uYRsNheZVC4UcGqUzKQ/edit"", ""'Full Time Load'!B:B""), ""*"" &amp; MID(A89, 2, FIND(""]"", A89) - 2) &amp; ""*"") &gt; 0, 1, 0)"),0.0)</f>
        <v>0</v>
      </c>
    </row>
    <row r="90" ht="15.75" customHeight="1">
      <c r="A90" s="15" t="str">
        <f>IFERROR(__xludf.DUMMYFUNCTION("""COMPUTED_VALUE"""),"[MEI] Dr. Md. Elias")</f>
        <v>[MEI] Dr. Md. Elias</v>
      </c>
      <c r="B90" s="15">
        <f t="shared" si="1"/>
        <v>0</v>
      </c>
      <c r="C90" s="15" t="str">
        <f>IFERROR(__xludf.DUMMYFUNCTION(" QUERY(IMPORTRANGE(""https://docs.google.com/spreadsheets/d/1xytwrrnzAdDwj8WFj5u6b5L5uYRsNheZVC4UcGqUzKQ/edit?gid=1891914664#gid=1891914664"", ""Faculty-wise All!A2:D""), ""SELECT Col4 WHERE Col1 = '"" &amp;A90 &amp;""'"")"),"#REF!")</f>
        <v>#REF!</v>
      </c>
      <c r="D90" s="15"/>
      <c r="E90" s="26" t="str">
        <f t="shared" si="2"/>
        <v>#REF!</v>
      </c>
      <c r="F90" s="32" t="str">
        <f t="shared" si="3"/>
        <v>#REF!</v>
      </c>
      <c r="G90" s="15">
        <f>IFERROR(__xludf.DUMMYFUNCTION("IF(COUNTIF(IMPORTRANGE(""https://docs.google.com/spreadsheets/d/1xytwrrnzAdDwj8WFj5u6b5L5uYRsNheZVC4UcGqUzKQ/edit"", ""'Full Time Load'!B:B""), ""*"" &amp; MID(A90, 2, FIND(""]"", A90) - 2) &amp; ""*"") &gt; 0, 1, 0)"),0.0)</f>
        <v>0</v>
      </c>
    </row>
    <row r="91" ht="15.75" customHeight="1">
      <c r="A91" s="15" t="str">
        <f>IFERROR(__xludf.DUMMYFUNCTION("""COMPUTED_VALUE"""),"[MEK] Mohammad Enamul Kabir")</f>
        <v>[MEK] Mohammad Enamul Kabir</v>
      </c>
      <c r="B91" s="15">
        <f t="shared" si="1"/>
        <v>0</v>
      </c>
      <c r="C91" s="15" t="str">
        <f>IFERROR(__xludf.DUMMYFUNCTION(" QUERY(IMPORTRANGE(""https://docs.google.com/spreadsheets/d/1xytwrrnzAdDwj8WFj5u6b5L5uYRsNheZVC4UcGqUzKQ/edit?gid=1891914664#gid=1891914664"", ""Faculty-wise All!A2:D""), ""SELECT Col4 WHERE Col1 = '"" &amp;A91 &amp;""'"")"),"#REF!")</f>
        <v>#REF!</v>
      </c>
      <c r="D91" s="15"/>
      <c r="E91" s="26" t="str">
        <f t="shared" si="2"/>
        <v>#REF!</v>
      </c>
      <c r="F91" s="32" t="str">
        <f t="shared" si="3"/>
        <v>#REF!</v>
      </c>
      <c r="G91" s="15">
        <f>IFERROR(__xludf.DUMMYFUNCTION("IF(COUNTIF(IMPORTRANGE(""https://docs.google.com/spreadsheets/d/1xytwrrnzAdDwj8WFj5u6b5L5uYRsNheZVC4UcGqUzKQ/edit"", ""'Full Time Load'!B:B""), ""*"" &amp; MID(A91, 2, FIND(""]"", A91) - 2) &amp; ""*"") &gt; 0, 1, 0)"),0.0)</f>
        <v>0</v>
      </c>
    </row>
    <row r="92" ht="15.75" customHeight="1">
      <c r="A92" s="15" t="str">
        <f>IFERROR(__xludf.DUMMYFUNCTION("""COMPUTED_VALUE"""),"[MER] Meherun Nesa")</f>
        <v>[MER] Meherun Nesa</v>
      </c>
      <c r="B92" s="15">
        <f t="shared" si="1"/>
        <v>0</v>
      </c>
      <c r="C92" s="15" t="str">
        <f>IFERROR(__xludf.DUMMYFUNCTION(" QUERY(IMPORTRANGE(""https://docs.google.com/spreadsheets/d/1xytwrrnzAdDwj8WFj5u6b5L5uYRsNheZVC4UcGqUzKQ/edit?gid=1891914664#gid=1891914664"", ""Faculty-wise All!A2:D""), ""SELECT Col4 WHERE Col1 = '"" &amp;A92 &amp;""'"")"),"#REF!")</f>
        <v>#REF!</v>
      </c>
      <c r="D92" s="15"/>
      <c r="E92" s="26" t="str">
        <f t="shared" si="2"/>
        <v>#REF!</v>
      </c>
      <c r="F92" s="32" t="str">
        <f t="shared" si="3"/>
        <v>#REF!</v>
      </c>
      <c r="G92" s="15">
        <f>IFERROR(__xludf.DUMMYFUNCTION("IF(COUNTIF(IMPORTRANGE(""https://docs.google.com/spreadsheets/d/1xytwrrnzAdDwj8WFj5u6b5L5uYRsNheZVC4UcGqUzKQ/edit"", ""'Full Time Load'!B:B""), ""*"" &amp; MID(A92, 2, FIND(""]"", A92) - 2) &amp; ""*"") &gt; 0, 1, 0)"),0.0)</f>
        <v>0</v>
      </c>
    </row>
    <row r="93" ht="15.75" customHeight="1">
      <c r="A93" s="15" t="str">
        <f>IFERROR(__xludf.DUMMYFUNCTION("""COMPUTED_VALUE"""),"[MHB] Md. Habibullah Belali")</f>
        <v>[MHB] Md. Habibullah Belali</v>
      </c>
      <c r="B93" s="15">
        <f t="shared" si="1"/>
        <v>0</v>
      </c>
      <c r="C93" s="15" t="str">
        <f>IFERROR(__xludf.DUMMYFUNCTION(" QUERY(IMPORTRANGE(""https://docs.google.com/spreadsheets/d/1xytwrrnzAdDwj8WFj5u6b5L5uYRsNheZVC4UcGqUzKQ/edit?gid=1891914664#gid=1891914664"", ""Faculty-wise All!A2:D""), ""SELECT Col4 WHERE Col1 = '"" &amp;A93 &amp;""'"")"),"#REF!")</f>
        <v>#REF!</v>
      </c>
      <c r="D93" s="15">
        <v>3.0</v>
      </c>
      <c r="E93" s="26" t="str">
        <f t="shared" si="2"/>
        <v>#REF!</v>
      </c>
      <c r="F93" s="32" t="str">
        <f t="shared" si="3"/>
        <v>#REF!</v>
      </c>
      <c r="G93" s="15">
        <f>IFERROR(__xludf.DUMMYFUNCTION("IF(COUNTIF(IMPORTRANGE(""https://docs.google.com/spreadsheets/d/1xytwrrnzAdDwj8WFj5u6b5L5uYRsNheZVC4UcGqUzKQ/edit"", ""'Full Time Load'!B:B""), ""*"" &amp; MID(A93, 2, FIND(""]"", A93) - 2) &amp; ""*"") &gt; 0, 1, 0)"),0.0)</f>
        <v>0</v>
      </c>
      <c r="H93" s="43" t="s">
        <v>545</v>
      </c>
    </row>
    <row r="94" ht="15.75" customHeight="1">
      <c r="A94" s="15" t="str">
        <f>IFERROR(__xludf.DUMMYFUNCTION("""COMPUTED_VALUE"""),"[MHSU] Mahjabin Sultana")</f>
        <v>[MHSU] Mahjabin Sultana</v>
      </c>
      <c r="B94" s="15">
        <f t="shared" si="1"/>
        <v>0</v>
      </c>
      <c r="C94" s="15" t="str">
        <f>IFERROR(__xludf.DUMMYFUNCTION(" QUERY(IMPORTRANGE(""https://docs.google.com/spreadsheets/d/1xytwrrnzAdDwj8WFj5u6b5L5uYRsNheZVC4UcGqUzKQ/edit?gid=1891914664#gid=1891914664"", ""Faculty-wise All!A2:D""), ""SELECT Col4 WHERE Col1 = '"" &amp;A94 &amp;""'"")"),"#REF!")</f>
        <v>#REF!</v>
      </c>
      <c r="D94" s="15"/>
      <c r="E94" s="26" t="str">
        <f t="shared" si="2"/>
        <v>#REF!</v>
      </c>
      <c r="F94" s="32" t="str">
        <f t="shared" si="3"/>
        <v>#REF!</v>
      </c>
      <c r="G94" s="15">
        <f>IFERROR(__xludf.DUMMYFUNCTION("IF(COUNTIF(IMPORTRANGE(""https://docs.google.com/spreadsheets/d/1xytwrrnzAdDwj8WFj5u6b5L5uYRsNheZVC4UcGqUzKQ/edit"", ""'Full Time Load'!B:B""), ""*"" &amp; MID(A94, 2, FIND(""]"", A94) - 2) &amp; ""*"") &gt; 0, 1, 0)"),0.0)</f>
        <v>0</v>
      </c>
    </row>
    <row r="95" ht="15.75" customHeight="1">
      <c r="A95" s="15" t="str">
        <f>IFERROR(__xludf.DUMMYFUNCTION("""COMPUTED_VALUE"""),"[MHTL] Mehedi Hassan Talukder")</f>
        <v>[MHTL] Mehedi Hassan Talukder</v>
      </c>
      <c r="B95" s="15">
        <f t="shared" si="1"/>
        <v>0</v>
      </c>
      <c r="C95" s="15" t="str">
        <f>IFERROR(__xludf.DUMMYFUNCTION(" QUERY(IMPORTRANGE(""https://docs.google.com/spreadsheets/d/1xytwrrnzAdDwj8WFj5u6b5L5uYRsNheZVC4UcGqUzKQ/edit?gid=1891914664#gid=1891914664"", ""Faculty-wise All!A2:D""), ""SELECT Col4 WHERE Col1 = '"" &amp;A95 &amp;""'"")"),"#REF!")</f>
        <v>#REF!</v>
      </c>
      <c r="D95" s="15"/>
      <c r="E95" s="26" t="str">
        <f t="shared" si="2"/>
        <v>#REF!</v>
      </c>
      <c r="F95" s="32" t="str">
        <f t="shared" si="3"/>
        <v>#REF!</v>
      </c>
      <c r="G95" s="15">
        <f>IFERROR(__xludf.DUMMYFUNCTION("IF(COUNTIF(IMPORTRANGE(""https://docs.google.com/spreadsheets/d/1xytwrrnzAdDwj8WFj5u6b5L5uYRsNheZVC4UcGqUzKQ/edit"", ""'Full Time Load'!B:B""), ""*"" &amp; MID(A95, 2, FIND(""]"", A95) - 2) &amp; ""*"") &gt; 0, 1, 0)"),0.0)</f>
        <v>0</v>
      </c>
    </row>
    <row r="96" ht="15.75" customHeight="1">
      <c r="A96" s="15" t="str">
        <f>IFERROR(__xludf.DUMMYFUNCTION("""COMPUTED_VALUE"""),"[MHZ] Md. Zahid Hossain")</f>
        <v>[MHZ] Md. Zahid Hossain</v>
      </c>
      <c r="B96" s="15">
        <f t="shared" si="1"/>
        <v>0</v>
      </c>
      <c r="C96" s="15" t="str">
        <f>IFERROR(__xludf.DUMMYFUNCTION(" QUERY(IMPORTRANGE(""https://docs.google.com/spreadsheets/d/1xytwrrnzAdDwj8WFj5u6b5L5uYRsNheZVC4UcGqUzKQ/edit?gid=1891914664#gid=1891914664"", ""Faculty-wise All!A2:D""), ""SELECT Col4 WHERE Col1 = '"" &amp;A96 &amp;""'"")"),"#REF!")</f>
        <v>#REF!</v>
      </c>
      <c r="D96" s="15"/>
      <c r="E96" s="26" t="str">
        <f t="shared" si="2"/>
        <v>#REF!</v>
      </c>
      <c r="F96" s="32" t="str">
        <f t="shared" si="3"/>
        <v>#REF!</v>
      </c>
      <c r="G96" s="15">
        <f>IFERROR(__xludf.DUMMYFUNCTION("IF(COUNTIF(IMPORTRANGE(""https://docs.google.com/spreadsheets/d/1xytwrrnzAdDwj8WFj5u6b5L5uYRsNheZVC4UcGqUzKQ/edit"", ""'Full Time Load'!B:B""), ""*"" &amp; MID(A96, 2, FIND(""]"", A96) - 2) &amp; ""*"") &gt; 0, 1, 0)"),0.0)</f>
        <v>0</v>
      </c>
    </row>
    <row r="97" ht="15.75" customHeight="1">
      <c r="A97" s="15" t="str">
        <f>IFERROR(__xludf.DUMMYFUNCTION("""COMPUTED_VALUE"""),"[MIF] Miftahul Sheikh")</f>
        <v>[MIF] Miftahul Sheikh</v>
      </c>
      <c r="B97" s="15">
        <f t="shared" si="1"/>
        <v>0</v>
      </c>
      <c r="C97" s="15" t="str">
        <f>IFERROR(__xludf.DUMMYFUNCTION(" QUERY(IMPORTRANGE(""https://docs.google.com/spreadsheets/d/1xytwrrnzAdDwj8WFj5u6b5L5uYRsNheZVC4UcGqUzKQ/edit?gid=1891914664#gid=1891914664"", ""Faculty-wise All!A2:D""), ""SELECT Col4 WHERE Col1 = '"" &amp;A97 &amp;""'"")"),"#REF!")</f>
        <v>#REF!</v>
      </c>
      <c r="D97" s="15"/>
      <c r="E97" s="26" t="str">
        <f t="shared" si="2"/>
        <v>#REF!</v>
      </c>
      <c r="F97" s="32" t="str">
        <f t="shared" si="3"/>
        <v>#REF!</v>
      </c>
      <c r="G97" s="15">
        <f>IFERROR(__xludf.DUMMYFUNCTION("IF(COUNTIF(IMPORTRANGE(""https://docs.google.com/spreadsheets/d/1xytwrrnzAdDwj8WFj5u6b5L5uYRsNheZVC4UcGqUzKQ/edit"", ""'Full Time Load'!B:B""), ""*"" &amp; MID(A97, 2, FIND(""]"", A97) - 2) &amp; ""*"") &gt; 0, 1, 0)"),0.0)</f>
        <v>0</v>
      </c>
    </row>
    <row r="98" ht="15.75" customHeight="1">
      <c r="A98" s="15" t="str">
        <f>IFERROR(__xludf.DUMMYFUNCTION("""COMPUTED_VALUE"""),"[MINR] Minhazur Rahman Rezvi")</f>
        <v>[MINR] Minhazur Rahman Rezvi</v>
      </c>
      <c r="B98" s="15">
        <f t="shared" si="1"/>
        <v>0</v>
      </c>
      <c r="C98" s="15" t="str">
        <f>IFERROR(__xludf.DUMMYFUNCTION(" QUERY(IMPORTRANGE(""https://docs.google.com/spreadsheets/d/1xytwrrnzAdDwj8WFj5u6b5L5uYRsNheZVC4UcGqUzKQ/edit?gid=1891914664#gid=1891914664"", ""Faculty-wise All!A2:D""), ""SELECT Col4 WHERE Col1 = '"" &amp;A98 &amp;""'"")"),"#REF!")</f>
        <v>#REF!</v>
      </c>
      <c r="D98" s="15"/>
      <c r="E98" s="26" t="str">
        <f t="shared" si="2"/>
        <v>#REF!</v>
      </c>
      <c r="F98" s="32" t="str">
        <f t="shared" si="3"/>
        <v>#REF!</v>
      </c>
      <c r="G98" s="15">
        <f>IFERROR(__xludf.DUMMYFUNCTION("IF(COUNTIF(IMPORTRANGE(""https://docs.google.com/spreadsheets/d/1xytwrrnzAdDwj8WFj5u6b5L5uYRsNheZVC4UcGqUzKQ/edit"", ""'Full Time Load'!B:B""), ""*"" &amp; MID(A98, 2, FIND(""]"", A98) - 2) &amp; ""*"") &gt; 0, 1, 0)"),0.0)</f>
        <v>0</v>
      </c>
    </row>
    <row r="99" ht="15.75" customHeight="1">
      <c r="A99" s="15" t="str">
        <f>IFERROR(__xludf.DUMMYFUNCTION("""COMPUTED_VALUE"""),"[MISK] Misbahul Sheikh")</f>
        <v>[MISK] Misbahul Sheikh</v>
      </c>
      <c r="B99" s="15">
        <f t="shared" si="1"/>
        <v>0</v>
      </c>
      <c r="C99" s="15" t="str">
        <f>IFERROR(__xludf.DUMMYFUNCTION(" QUERY(IMPORTRANGE(""https://docs.google.com/spreadsheets/d/1xytwrrnzAdDwj8WFj5u6b5L5uYRsNheZVC4UcGqUzKQ/edit?gid=1891914664#gid=1891914664"", ""Faculty-wise All!A2:D""), ""SELECT Col4 WHERE Col1 = '"" &amp;A99 &amp;""'"")"),"#REF!")</f>
        <v>#REF!</v>
      </c>
      <c r="D99" s="15"/>
      <c r="E99" s="26" t="str">
        <f t="shared" si="2"/>
        <v>#REF!</v>
      </c>
      <c r="F99" s="32" t="str">
        <f t="shared" si="3"/>
        <v>#REF!</v>
      </c>
      <c r="G99" s="15">
        <f>IFERROR(__xludf.DUMMYFUNCTION("IF(COUNTIF(IMPORTRANGE(""https://docs.google.com/spreadsheets/d/1xytwrrnzAdDwj8WFj5u6b5L5uYRsNheZVC4UcGqUzKQ/edit"", ""'Full Time Load'!B:B""), ""*"" &amp; MID(A99, 2, FIND(""]"", A99) - 2) &amp; ""*"") &gt; 0, 1, 0)"),0.0)</f>
        <v>0</v>
      </c>
    </row>
    <row r="100" ht="15.75" customHeight="1">
      <c r="A100" s="15" t="str">
        <f>IFERROR(__xludf.DUMMYFUNCTION("""COMPUTED_VALUE"""),"[MKHO] Md. Khaled Hosen")</f>
        <v>[MKHO] Md. Khaled Hosen</v>
      </c>
      <c r="B100" s="15">
        <f t="shared" si="1"/>
        <v>0</v>
      </c>
      <c r="C100" s="15" t="str">
        <f>IFERROR(__xludf.DUMMYFUNCTION(" QUERY(IMPORTRANGE(""https://docs.google.com/spreadsheets/d/1xytwrrnzAdDwj8WFj5u6b5L5uYRsNheZVC4UcGqUzKQ/edit?gid=1891914664#gid=1891914664"", ""Faculty-wise All!A2:D""), ""SELECT Col4 WHERE Col1 = '"" &amp;A100 &amp;""'"")"),"#REF!")</f>
        <v>#REF!</v>
      </c>
      <c r="D100" s="15"/>
      <c r="E100" s="26" t="str">
        <f t="shared" si="2"/>
        <v>#REF!</v>
      </c>
      <c r="F100" s="32" t="str">
        <f t="shared" si="3"/>
        <v>#REF!</v>
      </c>
      <c r="G100" s="15">
        <f>IFERROR(__xludf.DUMMYFUNCTION("IF(COUNTIF(IMPORTRANGE(""https://docs.google.com/spreadsheets/d/1xytwrrnzAdDwj8WFj5u6b5L5uYRsNheZVC4UcGqUzKQ/edit"", ""'Full Time Load'!B:B""), ""*"" &amp; MID(A100, 2, FIND(""]"", A100) - 2) &amp; ""*"") &gt; 0, 1, 0)"),0.0)</f>
        <v>0</v>
      </c>
    </row>
    <row r="101" ht="15.75" customHeight="1">
      <c r="A101" s="15" t="str">
        <f>IFERROR(__xludf.DUMMYFUNCTION("""COMPUTED_VALUE"""),"[MLH] Dr. Md. Latiful Haque")</f>
        <v>[MLH] Dr. Md. Latiful Haque</v>
      </c>
      <c r="B101" s="15">
        <f t="shared" si="1"/>
        <v>0</v>
      </c>
      <c r="C101" s="15" t="str">
        <f>IFERROR(__xludf.DUMMYFUNCTION(" QUERY(IMPORTRANGE(""https://docs.google.com/spreadsheets/d/1xytwrrnzAdDwj8WFj5u6b5L5uYRsNheZVC4UcGqUzKQ/edit?gid=1891914664#gid=1891914664"", ""Faculty-wise All!A2:D""), ""SELECT Col4 WHERE Col1 = '"" &amp;A101 &amp;""'"")"),"#REF!")</f>
        <v>#REF!</v>
      </c>
      <c r="D101" s="15"/>
      <c r="E101" s="26" t="str">
        <f t="shared" si="2"/>
        <v>#REF!</v>
      </c>
      <c r="F101" s="32" t="str">
        <f t="shared" si="3"/>
        <v>#REF!</v>
      </c>
      <c r="G101" s="15">
        <f>IFERROR(__xludf.DUMMYFUNCTION("IF(COUNTIF(IMPORTRANGE(""https://docs.google.com/spreadsheets/d/1xytwrrnzAdDwj8WFj5u6b5L5uYRsNheZVC4UcGqUzKQ/edit"", ""'Full Time Load'!B:B""), ""*"" &amp; MID(A101, 2, FIND(""]"", A101) - 2) &amp; ""*"") &gt; 0, 1, 0)"),0.0)</f>
        <v>0</v>
      </c>
    </row>
    <row r="102" ht="15.75" customHeight="1">
      <c r="A102" s="15" t="str">
        <f>IFERROR(__xludf.DUMMYFUNCTION("""COMPUTED_VALUE"""),"[MMH] Md Moinul Hoque")</f>
        <v>[MMH] Md Moinul Hoque</v>
      </c>
      <c r="B102" s="15">
        <f t="shared" si="1"/>
        <v>0</v>
      </c>
      <c r="C102" s="15" t="str">
        <f>IFERROR(__xludf.DUMMYFUNCTION(" QUERY(IMPORTRANGE(""https://docs.google.com/spreadsheets/d/1xytwrrnzAdDwj8WFj5u6b5L5uYRsNheZVC4UcGqUzKQ/edit?gid=1891914664#gid=1891914664"", ""Faculty-wise All!A2:D""), ""SELECT Col4 WHERE Col1 = '"" &amp;A102 &amp;""'"")"),"#REF!")</f>
        <v>#REF!</v>
      </c>
      <c r="D102" s="15"/>
      <c r="E102" s="26" t="str">
        <f t="shared" si="2"/>
        <v>#REF!</v>
      </c>
      <c r="F102" s="32" t="str">
        <f t="shared" si="3"/>
        <v>#REF!</v>
      </c>
      <c r="G102" s="15">
        <f>IFERROR(__xludf.DUMMYFUNCTION("IF(COUNTIF(IMPORTRANGE(""https://docs.google.com/spreadsheets/d/1xytwrrnzAdDwj8WFj5u6b5L5uYRsNheZVC4UcGqUzKQ/edit"", ""'Full Time Load'!B:B""), ""*"" &amp; MID(A102, 2, FIND(""]"", A102) - 2) &amp; ""*"") &gt; 0, 1, 0)"),0.0)</f>
        <v>0</v>
      </c>
    </row>
    <row r="103" ht="15.75" customHeight="1">
      <c r="A103" s="15" t="str">
        <f>IFERROR(__xludf.DUMMYFUNCTION("""COMPUTED_VALUE"""),"[MMIS] Md. Ismail")</f>
        <v>[MMIS] Md. Ismail</v>
      </c>
      <c r="B103" s="15">
        <f t="shared" si="1"/>
        <v>0</v>
      </c>
      <c r="C103" s="15" t="str">
        <f>IFERROR(__xludf.DUMMYFUNCTION(" QUERY(IMPORTRANGE(""https://docs.google.com/spreadsheets/d/1xytwrrnzAdDwj8WFj5u6b5L5uYRsNheZVC4UcGqUzKQ/edit?gid=1891914664#gid=1891914664"", ""Faculty-wise All!A2:D""), ""SELECT Col4 WHERE Col1 = '"" &amp;A103 &amp;""'"")"),"#REF!")</f>
        <v>#REF!</v>
      </c>
      <c r="D103" s="15"/>
      <c r="E103" s="26" t="str">
        <f t="shared" si="2"/>
        <v>#REF!</v>
      </c>
      <c r="F103" s="32" t="str">
        <f t="shared" si="3"/>
        <v>#REF!</v>
      </c>
      <c r="G103" s="15">
        <f>IFERROR(__xludf.DUMMYFUNCTION("IF(COUNTIF(IMPORTRANGE(""https://docs.google.com/spreadsheets/d/1xytwrrnzAdDwj8WFj5u6b5L5uYRsNheZVC4UcGqUzKQ/edit"", ""'Full Time Load'!B:B""), ""*"" &amp; MID(A103, 2, FIND(""]"", A103) - 2) &amp; ""*"") &gt; 0, 1, 0)"),0.0)</f>
        <v>0</v>
      </c>
    </row>
    <row r="104" ht="15.75" customHeight="1">
      <c r="A104" s="15" t="str">
        <f>IFERROR(__xludf.DUMMYFUNCTION("""COMPUTED_VALUE"""),"[MMJR] Md. Mijanur Rahman")</f>
        <v>[MMJR] Md. Mijanur Rahman</v>
      </c>
      <c r="B104" s="15">
        <f t="shared" si="1"/>
        <v>0</v>
      </c>
      <c r="C104" s="15" t="str">
        <f>IFERROR(__xludf.DUMMYFUNCTION(" QUERY(IMPORTRANGE(""https://docs.google.com/spreadsheets/d/1xytwrrnzAdDwj8WFj5u6b5L5uYRsNheZVC4UcGqUzKQ/edit?gid=1891914664#gid=1891914664"", ""Faculty-wise All!A2:D""), ""SELECT Col4 WHERE Col1 = '"" &amp;A104 &amp;""'"")"),"#REF!")</f>
        <v>#REF!</v>
      </c>
      <c r="D104" s="15">
        <v>1.0</v>
      </c>
      <c r="E104" s="26" t="str">
        <f t="shared" si="2"/>
        <v>#REF!</v>
      </c>
      <c r="F104" s="32" t="str">
        <f t="shared" si="3"/>
        <v>#REF!</v>
      </c>
      <c r="G104" s="15">
        <f>IFERROR(__xludf.DUMMYFUNCTION("IF(COUNTIF(IMPORTRANGE(""https://docs.google.com/spreadsheets/d/1xytwrrnzAdDwj8WFj5u6b5L5uYRsNheZVC4UcGqUzKQ/edit"", ""'Full Time Load'!B:B""), ""*"" &amp; MID(A104, 2, FIND(""]"", A104) - 2) &amp; ""*"") &gt; 0, 1, 0)"),0.0)</f>
        <v>0</v>
      </c>
      <c r="H104" s="43" t="s">
        <v>755</v>
      </c>
    </row>
    <row r="105" ht="15.75" customHeight="1">
      <c r="A105" s="15" t="str">
        <f>IFERROR(__xludf.DUMMYFUNCTION("""COMPUTED_VALUE"""),"[MMMM] Dr. Mia Muhammad Mustafiz Munir")</f>
        <v>[MMMM] Dr. Mia Muhammad Mustafiz Munir</v>
      </c>
      <c r="B105" s="15">
        <f t="shared" si="1"/>
        <v>0</v>
      </c>
      <c r="C105" s="15" t="str">
        <f>IFERROR(__xludf.DUMMYFUNCTION(" QUERY(IMPORTRANGE(""https://docs.google.com/spreadsheets/d/1xytwrrnzAdDwj8WFj5u6b5L5uYRsNheZVC4UcGqUzKQ/edit?gid=1891914664#gid=1891914664"", ""Faculty-wise All!A2:D""), ""SELECT Col4 WHERE Col1 = '"" &amp;A105 &amp;""'"")"),"#REF!")</f>
        <v>#REF!</v>
      </c>
      <c r="D105" s="15"/>
      <c r="E105" s="26" t="str">
        <f t="shared" si="2"/>
        <v>#REF!</v>
      </c>
      <c r="F105" s="32" t="str">
        <f t="shared" si="3"/>
        <v>#REF!</v>
      </c>
      <c r="G105" s="15">
        <f>IFERROR(__xludf.DUMMYFUNCTION("IF(COUNTIF(IMPORTRANGE(""https://docs.google.com/spreadsheets/d/1xytwrrnzAdDwj8WFj5u6b5L5uYRsNheZVC4UcGqUzKQ/edit"", ""'Full Time Load'!B:B""), ""*"" &amp; MID(A105, 2, FIND(""]"", A105) - 2) &amp; ""*"") &gt; 0, 1, 0)"),0.0)</f>
        <v>0</v>
      </c>
    </row>
    <row r="106" ht="15.75" customHeight="1">
      <c r="A106" s="15" t="str">
        <f>IFERROR(__xludf.DUMMYFUNCTION("""COMPUTED_VALUE"""),"[MMRF] Md. Mushfiqur Rahman Fakir")</f>
        <v>[MMRF] Md. Mushfiqur Rahman Fakir</v>
      </c>
      <c r="B106" s="15">
        <f t="shared" si="1"/>
        <v>0</v>
      </c>
      <c r="C106" s="15" t="str">
        <f>IFERROR(__xludf.DUMMYFUNCTION(" QUERY(IMPORTRANGE(""https://docs.google.com/spreadsheets/d/1xytwrrnzAdDwj8WFj5u6b5L5uYRsNheZVC4UcGqUzKQ/edit?gid=1891914664#gid=1891914664"", ""Faculty-wise All!A2:D""), ""SELECT Col4 WHERE Col1 = '"" &amp;A106 &amp;""'"")"),"#REF!")</f>
        <v>#REF!</v>
      </c>
      <c r="D106" s="15"/>
      <c r="E106" s="26" t="str">
        <f t="shared" si="2"/>
        <v>#REF!</v>
      </c>
      <c r="F106" s="32" t="str">
        <f t="shared" si="3"/>
        <v>#REF!</v>
      </c>
      <c r="G106" s="15">
        <f>IFERROR(__xludf.DUMMYFUNCTION("IF(COUNTIF(IMPORTRANGE(""https://docs.google.com/spreadsheets/d/1xytwrrnzAdDwj8WFj5u6b5L5uYRsNheZVC4UcGqUzKQ/edit"", ""'Full Time Load'!B:B""), ""*"" &amp; MID(A106, 2, FIND(""]"", A106) - 2) &amp; ""*"") &gt; 0, 1, 0)"),0.0)</f>
        <v>0</v>
      </c>
    </row>
    <row r="107" ht="15.75" customHeight="1">
      <c r="A107" s="15" t="str">
        <f>IFERROR(__xludf.DUMMYFUNCTION("""COMPUTED_VALUE"""),"[MNAR] Namirah Rasul")</f>
        <v>[MNAR] Namirah Rasul</v>
      </c>
      <c r="B107" s="15">
        <f t="shared" si="1"/>
        <v>0</v>
      </c>
      <c r="C107" s="15" t="str">
        <f>IFERROR(__xludf.DUMMYFUNCTION(" QUERY(IMPORTRANGE(""https://docs.google.com/spreadsheets/d/1xytwrrnzAdDwj8WFj5u6b5L5uYRsNheZVC4UcGqUzKQ/edit?gid=1891914664#gid=1891914664"", ""Faculty-wise All!A2:D""), ""SELECT Col4 WHERE Col1 = '"" &amp;A107 &amp;""'"")"),"#REF!")</f>
        <v>#REF!</v>
      </c>
      <c r="D107" s="15"/>
      <c r="E107" s="26" t="str">
        <f t="shared" si="2"/>
        <v>#REF!</v>
      </c>
      <c r="F107" s="32" t="str">
        <f t="shared" si="3"/>
        <v>#REF!</v>
      </c>
      <c r="G107" s="15">
        <f>IFERROR(__xludf.DUMMYFUNCTION("IF(COUNTIF(IMPORTRANGE(""https://docs.google.com/spreadsheets/d/1xytwrrnzAdDwj8WFj5u6b5L5uYRsNheZVC4UcGqUzKQ/edit"", ""'Full Time Load'!B:B""), ""*"" &amp; MID(A107, 2, FIND(""]"", A107) - 2) &amp; ""*"") &gt; 0, 1, 0)"),0.0)</f>
        <v>0</v>
      </c>
    </row>
    <row r="108" ht="15.75" customHeight="1">
      <c r="A108" s="15" t="str">
        <f>IFERROR(__xludf.DUMMYFUNCTION("""COMPUTED_VALUE"""),"[MOHO] Mosarrof Hossain")</f>
        <v>[MOHO] Mosarrof Hossain</v>
      </c>
      <c r="B108" s="15">
        <f t="shared" si="1"/>
        <v>0</v>
      </c>
      <c r="C108" s="15" t="str">
        <f>IFERROR(__xludf.DUMMYFUNCTION(" QUERY(IMPORTRANGE(""https://docs.google.com/spreadsheets/d/1xytwrrnzAdDwj8WFj5u6b5L5uYRsNheZVC4UcGqUzKQ/edit?gid=1891914664#gid=1891914664"", ""Faculty-wise All!A2:D""), ""SELECT Col4 WHERE Col1 = '"" &amp;A108 &amp;""'"")"),"#REF!")</f>
        <v>#REF!</v>
      </c>
      <c r="D108" s="15"/>
      <c r="E108" s="26" t="str">
        <f t="shared" si="2"/>
        <v>#REF!</v>
      </c>
      <c r="F108" s="32" t="str">
        <f t="shared" si="3"/>
        <v>#REF!</v>
      </c>
      <c r="G108" s="15">
        <f>IFERROR(__xludf.DUMMYFUNCTION("IF(COUNTIF(IMPORTRANGE(""https://docs.google.com/spreadsheets/d/1xytwrrnzAdDwj8WFj5u6b5L5uYRsNheZVC4UcGqUzKQ/edit"", ""'Full Time Load'!B:B""), ""*"" &amp; MID(A108, 2, FIND(""]"", A108) - 2) &amp; ""*"") &gt; 0, 1, 0)"),0.0)</f>
        <v>0</v>
      </c>
    </row>
    <row r="109" ht="15.75" customHeight="1">
      <c r="A109" s="15" t="str">
        <f>IFERROR(__xludf.DUMMYFUNCTION("""COMPUTED_VALUE"""),"[MRAH] Md. Rashidul Hasan")</f>
        <v>[MRAH] Md. Rashidul Hasan</v>
      </c>
      <c r="B109" s="15">
        <f t="shared" si="1"/>
        <v>0</v>
      </c>
      <c r="C109" s="15" t="str">
        <f>IFERROR(__xludf.DUMMYFUNCTION(" QUERY(IMPORTRANGE(""https://docs.google.com/spreadsheets/d/1xytwrrnzAdDwj8WFj5u6b5L5uYRsNheZVC4UcGqUzKQ/edit?gid=1891914664#gid=1891914664"", ""Faculty-wise All!A2:D""), ""SELECT Col4 WHERE Col1 = '"" &amp;A109 &amp;""'"")"),"#REF!")</f>
        <v>#REF!</v>
      </c>
      <c r="D109" s="15"/>
      <c r="E109" s="26" t="str">
        <f t="shared" si="2"/>
        <v>#REF!</v>
      </c>
      <c r="F109" s="32" t="str">
        <f t="shared" si="3"/>
        <v>#REF!</v>
      </c>
      <c r="G109" s="15">
        <f>IFERROR(__xludf.DUMMYFUNCTION("IF(COUNTIF(IMPORTRANGE(""https://docs.google.com/spreadsheets/d/1xytwrrnzAdDwj8WFj5u6b5L5uYRsNheZVC4UcGqUzKQ/edit"", ""'Full Time Load'!B:B""), ""*"" &amp; MID(A109, 2, FIND(""]"", A109) - 2) &amp; ""*"") &gt; 0, 1, 0)"),0.0)</f>
        <v>0</v>
      </c>
    </row>
    <row r="110" ht="15.75" customHeight="1">
      <c r="A110" s="15" t="str">
        <f>IFERROR(__xludf.DUMMYFUNCTION("""COMPUTED_VALUE"""),"[MRAI] Md. Rashedul Islam")</f>
        <v>[MRAI] Md. Rashedul Islam</v>
      </c>
      <c r="B110" s="15">
        <f t="shared" si="1"/>
        <v>0</v>
      </c>
      <c r="C110" s="15" t="str">
        <f>IFERROR(__xludf.DUMMYFUNCTION(" QUERY(IMPORTRANGE(""https://docs.google.com/spreadsheets/d/1xytwrrnzAdDwj8WFj5u6b5L5uYRsNheZVC4UcGqUzKQ/edit?gid=1891914664#gid=1891914664"", ""Faculty-wise All!A2:D""), ""SELECT Col4 WHERE Col1 = '"" &amp;A110 &amp;""'"")"),"#REF!")</f>
        <v>#REF!</v>
      </c>
      <c r="D110" s="15"/>
      <c r="E110" s="26" t="str">
        <f t="shared" si="2"/>
        <v>#REF!</v>
      </c>
      <c r="F110" s="32" t="str">
        <f t="shared" si="3"/>
        <v>#REF!</v>
      </c>
      <c r="G110" s="15">
        <f>IFERROR(__xludf.DUMMYFUNCTION("IF(COUNTIF(IMPORTRANGE(""https://docs.google.com/spreadsheets/d/1xytwrrnzAdDwj8WFj5u6b5L5uYRsNheZVC4UcGqUzKQ/edit"", ""'Full Time Load'!B:B""), ""*"" &amp; MID(A110, 2, FIND(""]"", A110) - 2) &amp; ""*"") &gt; 0, 1, 0)"),0.0)</f>
        <v>0</v>
      </c>
    </row>
    <row r="111" ht="15.75" customHeight="1">
      <c r="A111" s="15" t="str">
        <f>IFERROR(__xludf.DUMMYFUNCTION("""COMPUTED_VALUE"""),"[MRRR] Mst Rubaiya Raktin Raha")</f>
        <v>[MRRR] Mst Rubaiya Raktin Raha</v>
      </c>
      <c r="B111" s="15">
        <f t="shared" si="1"/>
        <v>0</v>
      </c>
      <c r="C111" s="15" t="str">
        <f>IFERROR(__xludf.DUMMYFUNCTION(" QUERY(IMPORTRANGE(""https://docs.google.com/spreadsheets/d/1xytwrrnzAdDwj8WFj5u6b5L5uYRsNheZVC4UcGqUzKQ/edit?gid=1891914664#gid=1891914664"", ""Faculty-wise All!A2:D""), ""SELECT Col4 WHERE Col1 = '"" &amp;A111 &amp;""'"")"),"#REF!")</f>
        <v>#REF!</v>
      </c>
      <c r="D111" s="15"/>
      <c r="E111" s="26" t="str">
        <f t="shared" si="2"/>
        <v>#REF!</v>
      </c>
      <c r="F111" s="32" t="str">
        <f t="shared" si="3"/>
        <v>#REF!</v>
      </c>
      <c r="G111" s="15">
        <f>IFERROR(__xludf.DUMMYFUNCTION("IF(COUNTIF(IMPORTRANGE(""https://docs.google.com/spreadsheets/d/1xytwrrnzAdDwj8WFj5u6b5L5uYRsNheZVC4UcGqUzKQ/edit"", ""'Full Time Load'!B:B""), ""*"" &amp; MID(A111, 2, FIND(""]"", A111) - 2) &amp; ""*"") &gt; 0, 1, 0)"),0.0)</f>
        <v>0</v>
      </c>
    </row>
    <row r="112" ht="15.75" customHeight="1">
      <c r="A112" s="15" t="str">
        <f>IFERROR(__xludf.DUMMYFUNCTION("""COMPUTED_VALUE"""),"[MRZ] Md. Miraz Hossain")</f>
        <v>[MRZ] Md. Miraz Hossain</v>
      </c>
      <c r="B112" s="15">
        <f t="shared" si="1"/>
        <v>0</v>
      </c>
      <c r="C112" s="15" t="str">
        <f>IFERROR(__xludf.DUMMYFUNCTION(" QUERY(IMPORTRANGE(""https://docs.google.com/spreadsheets/d/1xytwrrnzAdDwj8WFj5u6b5L5uYRsNheZVC4UcGqUzKQ/edit?gid=1891914664#gid=1891914664"", ""Faculty-wise All!A2:D""), ""SELECT Col4 WHERE Col1 = '"" &amp;A112 &amp;""'"")"),"#REF!")</f>
        <v>#REF!</v>
      </c>
      <c r="D112" s="15"/>
      <c r="E112" s="26" t="str">
        <f t="shared" si="2"/>
        <v>#REF!</v>
      </c>
      <c r="F112" s="32" t="str">
        <f t="shared" si="3"/>
        <v>#REF!</v>
      </c>
      <c r="G112" s="15">
        <f>IFERROR(__xludf.DUMMYFUNCTION("IF(COUNTIF(IMPORTRANGE(""https://docs.google.com/spreadsheets/d/1xytwrrnzAdDwj8WFj5u6b5L5uYRsNheZVC4UcGqUzKQ/edit"", ""'Full Time Load'!B:B""), ""*"" &amp; MID(A112, 2, FIND(""]"", A112) - 2) &amp; ""*"") &gt; 0, 1, 0)"),0.0)</f>
        <v>0</v>
      </c>
    </row>
    <row r="113" ht="15.75" customHeight="1">
      <c r="A113" s="15" t="str">
        <f>IFERROR(__xludf.DUMMYFUNCTION("""COMPUTED_VALUE"""),"[MSNS] Mst. Shafiatun Nur Shimu")</f>
        <v>[MSNS] Mst. Shafiatun Nur Shimu</v>
      </c>
      <c r="B113" s="15">
        <f t="shared" si="1"/>
        <v>0</v>
      </c>
      <c r="C113" s="15" t="str">
        <f>IFERROR(__xludf.DUMMYFUNCTION(" QUERY(IMPORTRANGE(""https://docs.google.com/spreadsheets/d/1xytwrrnzAdDwj8WFj5u6b5L5uYRsNheZVC4UcGqUzKQ/edit?gid=1891914664#gid=1891914664"", ""Faculty-wise All!A2:D""), ""SELECT Col4 WHERE Col1 = '"" &amp;A113 &amp;""'"")"),"#REF!")</f>
        <v>#REF!</v>
      </c>
      <c r="D113" s="15"/>
      <c r="E113" s="26" t="str">
        <f t="shared" si="2"/>
        <v>#REF!</v>
      </c>
      <c r="F113" s="32" t="str">
        <f t="shared" si="3"/>
        <v>#REF!</v>
      </c>
      <c r="G113" s="15">
        <f>IFERROR(__xludf.DUMMYFUNCTION("IF(COUNTIF(IMPORTRANGE(""https://docs.google.com/spreadsheets/d/1xytwrrnzAdDwj8WFj5u6b5L5uYRsNheZVC4UcGqUzKQ/edit"", ""'Full Time Load'!B:B""), ""*"" &amp; MID(A113, 2, FIND(""]"", A113) - 2) &amp; ""*"") &gt; 0, 1, 0)"),0.0)</f>
        <v>0</v>
      </c>
    </row>
    <row r="114" ht="15.75" customHeight="1">
      <c r="A114" s="15" t="str">
        <f>IFERROR(__xludf.DUMMYFUNCTION("""COMPUTED_VALUE"""),"[MSSR] Snigdha Rahman")</f>
        <v>[MSSR] Snigdha Rahman</v>
      </c>
      <c r="B114" s="15">
        <f t="shared" si="1"/>
        <v>0</v>
      </c>
      <c r="C114" s="15" t="str">
        <f>IFERROR(__xludf.DUMMYFUNCTION(" QUERY(IMPORTRANGE(""https://docs.google.com/spreadsheets/d/1xytwrrnzAdDwj8WFj5u6b5L5uYRsNheZVC4UcGqUzKQ/edit?gid=1891914664#gid=1891914664"", ""Faculty-wise All!A2:D""), ""SELECT Col4 WHERE Col1 = '"" &amp;A114 &amp;""'"")"),"#REF!")</f>
        <v>#REF!</v>
      </c>
      <c r="D114" s="15"/>
      <c r="E114" s="26" t="str">
        <f t="shared" si="2"/>
        <v>#REF!</v>
      </c>
      <c r="F114" s="32" t="str">
        <f t="shared" si="3"/>
        <v>#REF!</v>
      </c>
      <c r="G114" s="15">
        <f>IFERROR(__xludf.DUMMYFUNCTION("IF(COUNTIF(IMPORTRANGE(""https://docs.google.com/spreadsheets/d/1xytwrrnzAdDwj8WFj5u6b5L5uYRsNheZVC4UcGqUzKQ/edit"", ""'Full Time Load'!B:B""), ""*"" &amp; MID(A114, 2, FIND(""]"", A114) - 2) &amp; ""*"") &gt; 0, 1, 0)"),0.0)</f>
        <v>0</v>
      </c>
      <c r="I114" s="43" t="s">
        <v>756</v>
      </c>
    </row>
    <row r="115" ht="15.75" customHeight="1">
      <c r="A115" s="15" t="str">
        <f>IFERROR(__xludf.DUMMYFUNCTION("""COMPUTED_VALUE"""),"[MSZA] Md. Safwan Zaher Asif")</f>
        <v>[MSZA] Md. Safwan Zaher Asif</v>
      </c>
      <c r="B115" s="15">
        <f t="shared" si="1"/>
        <v>0</v>
      </c>
      <c r="C115" s="15" t="str">
        <f>IFERROR(__xludf.DUMMYFUNCTION(" QUERY(IMPORTRANGE(""https://docs.google.com/spreadsheets/d/1xytwrrnzAdDwj8WFj5u6b5L5uYRsNheZVC4UcGqUzKQ/edit?gid=1891914664#gid=1891914664"", ""Faculty-wise All!A2:D""), ""SELECT Col4 WHERE Col1 = '"" &amp;A115 &amp;""'"")"),"#REF!")</f>
        <v>#REF!</v>
      </c>
      <c r="D115" s="15"/>
      <c r="E115" s="26" t="str">
        <f t="shared" si="2"/>
        <v>#REF!</v>
      </c>
      <c r="F115" s="32" t="str">
        <f t="shared" si="3"/>
        <v>#REF!</v>
      </c>
      <c r="G115" s="15">
        <f>IFERROR(__xludf.DUMMYFUNCTION("IF(COUNTIF(IMPORTRANGE(""https://docs.google.com/spreadsheets/d/1xytwrrnzAdDwj8WFj5u6b5L5uYRsNheZVC4UcGqUzKQ/edit"", ""'Full Time Load'!B:B""), ""*"" &amp; MID(A115, 2, FIND(""]"", A115) - 2) &amp; ""*"") &gt; 0, 1, 0)"),0.0)</f>
        <v>0</v>
      </c>
    </row>
    <row r="116" ht="15.75" customHeight="1">
      <c r="A116" s="15" t="str">
        <f>IFERROR(__xludf.DUMMYFUNCTION("""COMPUTED_VALUE"""),"[MTK] Md. Tamim Khandakar")</f>
        <v>[MTK] Md. Tamim Khandakar</v>
      </c>
      <c r="B116" s="15">
        <f t="shared" si="1"/>
        <v>0</v>
      </c>
      <c r="C116" s="15" t="str">
        <f>IFERROR(__xludf.DUMMYFUNCTION(" QUERY(IMPORTRANGE(""https://docs.google.com/spreadsheets/d/1xytwrrnzAdDwj8WFj5u6b5L5uYRsNheZVC4UcGqUzKQ/edit?gid=1891914664#gid=1891914664"", ""Faculty-wise All!A2:D""), ""SELECT Col4 WHERE Col1 = '"" &amp;A116 &amp;""'"")"),"#REF!")</f>
        <v>#REF!</v>
      </c>
      <c r="D116" s="15"/>
      <c r="E116" s="26" t="str">
        <f t="shared" si="2"/>
        <v>#REF!</v>
      </c>
      <c r="F116" s="32" t="str">
        <f t="shared" si="3"/>
        <v>#REF!</v>
      </c>
      <c r="G116" s="15">
        <f>IFERROR(__xludf.DUMMYFUNCTION("IF(COUNTIF(IMPORTRANGE(""https://docs.google.com/spreadsheets/d/1xytwrrnzAdDwj8WFj5u6b5L5uYRsNheZVC4UcGqUzKQ/edit"", ""'Full Time Load'!B:B""), ""*"" &amp; MID(A116, 2, FIND(""]"", A116) - 2) &amp; ""*"") &gt; 0, 1, 0)"),0.0)</f>
        <v>0</v>
      </c>
    </row>
    <row r="117" ht="15.75" customHeight="1">
      <c r="A117" s="15" t="str">
        <f>IFERROR(__xludf.DUMMYFUNCTION("""COMPUTED_VALUE"""),"[MUI] Md. Muhiminul Islam")</f>
        <v>[MUI] Md. Muhiminul Islam</v>
      </c>
      <c r="B117" s="15">
        <f t="shared" si="1"/>
        <v>0</v>
      </c>
      <c r="C117" s="15" t="str">
        <f>IFERROR(__xludf.DUMMYFUNCTION(" QUERY(IMPORTRANGE(""https://docs.google.com/spreadsheets/d/1xytwrrnzAdDwj8WFj5u6b5L5uYRsNheZVC4UcGqUzKQ/edit?gid=1891914664#gid=1891914664"", ""Faculty-wise All!A2:D""), ""SELECT Col4 WHERE Col1 = '"" &amp;A117 &amp;""'"")"),"#REF!")</f>
        <v>#REF!</v>
      </c>
      <c r="D117" s="15"/>
      <c r="E117" s="26" t="str">
        <f t="shared" si="2"/>
        <v>#REF!</v>
      </c>
      <c r="F117" s="32" t="str">
        <f t="shared" si="3"/>
        <v>#REF!</v>
      </c>
      <c r="G117" s="15">
        <f>IFERROR(__xludf.DUMMYFUNCTION("IF(COUNTIF(IMPORTRANGE(""https://docs.google.com/spreadsheets/d/1xytwrrnzAdDwj8WFj5u6b5L5uYRsNheZVC4UcGqUzKQ/edit"", ""'Full Time Load'!B:B""), ""*"" &amp; MID(A117, 2, FIND(""]"", A117) - 2) &amp; ""*"") &gt; 0, 1, 0)"),0.0)</f>
        <v>0</v>
      </c>
    </row>
    <row r="118" ht="15.75" customHeight="1">
      <c r="A118" s="15" t="str">
        <f>IFERROR(__xludf.DUMMYFUNCTION("""COMPUTED_VALUE"""),"[MUKH] Muhaimen Khan")</f>
        <v>[MUKH] Muhaimen Khan</v>
      </c>
      <c r="B118" s="15">
        <f t="shared" si="1"/>
        <v>0</v>
      </c>
      <c r="C118" s="15" t="str">
        <f>IFERROR(__xludf.DUMMYFUNCTION(" QUERY(IMPORTRANGE(""https://docs.google.com/spreadsheets/d/1xytwrrnzAdDwj8WFj5u6b5L5uYRsNheZVC4UcGqUzKQ/edit?gid=1891914664#gid=1891914664"", ""Faculty-wise All!A2:D""), ""SELECT Col4 WHERE Col1 = '"" &amp;A118 &amp;""'"")"),"#REF!")</f>
        <v>#REF!</v>
      </c>
      <c r="D118" s="15"/>
      <c r="E118" s="26" t="str">
        <f t="shared" si="2"/>
        <v>#REF!</v>
      </c>
      <c r="F118" s="32" t="str">
        <f t="shared" si="3"/>
        <v>#REF!</v>
      </c>
      <c r="G118" s="15">
        <f>IFERROR(__xludf.DUMMYFUNCTION("IF(COUNTIF(IMPORTRANGE(""https://docs.google.com/spreadsheets/d/1xytwrrnzAdDwj8WFj5u6b5L5uYRsNheZVC4UcGqUzKQ/edit"", ""'Full Time Load'!B:B""), ""*"" &amp; MID(A118, 2, FIND(""]"", A118) - 2) &amp; ""*"") &gt; 0, 1, 0)"),0.0)</f>
        <v>0</v>
      </c>
    </row>
    <row r="119" ht="15.75" customHeight="1">
      <c r="A119" s="15" t="str">
        <f>IFERROR(__xludf.DUMMYFUNCTION("""COMPUTED_VALUE"""),"[MUKO] Mustofa Khalid Ovi")</f>
        <v>[MUKO] Mustofa Khalid Ovi</v>
      </c>
      <c r="B119" s="15">
        <f t="shared" si="1"/>
        <v>0</v>
      </c>
      <c r="C119" s="15" t="str">
        <f>IFERROR(__xludf.DUMMYFUNCTION(" QUERY(IMPORTRANGE(""https://docs.google.com/spreadsheets/d/1xytwrrnzAdDwj8WFj5u6b5L5uYRsNheZVC4UcGqUzKQ/edit?gid=1891914664#gid=1891914664"", ""Faculty-wise All!A2:D""), ""SELECT Col4 WHERE Col1 = '"" &amp;A119 &amp;""'"")"),"#REF!")</f>
        <v>#REF!</v>
      </c>
      <c r="D119" s="15"/>
      <c r="E119" s="26" t="str">
        <f t="shared" si="2"/>
        <v>#REF!</v>
      </c>
      <c r="F119" s="32" t="str">
        <f t="shared" si="3"/>
        <v>#REF!</v>
      </c>
      <c r="G119" s="15">
        <f>IFERROR(__xludf.DUMMYFUNCTION("IF(COUNTIF(IMPORTRANGE(""https://docs.google.com/spreadsheets/d/1xytwrrnzAdDwj8WFj5u6b5L5uYRsNheZVC4UcGqUzKQ/edit"", ""'Full Time Load'!B:B""), ""*"" &amp; MID(A119, 2, FIND(""]"", A119) - 2) &amp; ""*"") &gt; 0, 1, 0)"),0.0)</f>
        <v>0</v>
      </c>
    </row>
    <row r="120" ht="15.75" customHeight="1">
      <c r="A120" s="15" t="str">
        <f>IFERROR(__xludf.DUMMYFUNCTION("""COMPUTED_VALUE"""),"[MZN] Miraz Un Nabi")</f>
        <v>[MZN] Miraz Un Nabi</v>
      </c>
      <c r="B120" s="15">
        <f t="shared" si="1"/>
        <v>0</v>
      </c>
      <c r="C120" s="15" t="str">
        <f>IFERROR(__xludf.DUMMYFUNCTION(" QUERY(IMPORTRANGE(""https://docs.google.com/spreadsheets/d/1xytwrrnzAdDwj8WFj5u6b5L5uYRsNheZVC4UcGqUzKQ/edit?gid=1891914664#gid=1891914664"", ""Faculty-wise All!A2:D""), ""SELECT Col4 WHERE Col1 = '"" &amp;A120 &amp;""'"")"),"#REF!")</f>
        <v>#REF!</v>
      </c>
      <c r="D120" s="15"/>
      <c r="E120" s="26" t="str">
        <f t="shared" si="2"/>
        <v>#REF!</v>
      </c>
      <c r="F120" s="32" t="str">
        <f t="shared" si="3"/>
        <v>#REF!</v>
      </c>
      <c r="G120" s="15">
        <f>IFERROR(__xludf.DUMMYFUNCTION("IF(COUNTIF(IMPORTRANGE(""https://docs.google.com/spreadsheets/d/1xytwrrnzAdDwj8WFj5u6b5L5uYRsNheZVC4UcGqUzKQ/edit"", ""'Full Time Load'!B:B""), ""*"" &amp; MID(A120, 2, FIND(""]"", A120) - 2) &amp; ""*"") &gt; 0, 1, 0)"),0.0)</f>
        <v>0</v>
      </c>
    </row>
    <row r="121" ht="15.75" customHeight="1">
      <c r="A121" s="15" t="str">
        <f>IFERROR(__xludf.DUMMYFUNCTION("""COMPUTED_VALUE"""),"[MZSH] Zarif Safwan Hoque")</f>
        <v>[MZSH] Zarif Safwan Hoque</v>
      </c>
      <c r="B121" s="15">
        <f t="shared" si="1"/>
        <v>0</v>
      </c>
      <c r="C121" s="15" t="str">
        <f>IFERROR(__xludf.DUMMYFUNCTION(" QUERY(IMPORTRANGE(""https://docs.google.com/spreadsheets/d/1xytwrrnzAdDwj8WFj5u6b5L5uYRsNheZVC4UcGqUzKQ/edit?gid=1891914664#gid=1891914664"", ""Faculty-wise All!A2:D""), ""SELECT Col4 WHERE Col1 = '"" &amp;A121 &amp;""'"")"),"#REF!")</f>
        <v>#REF!</v>
      </c>
      <c r="D121" s="15"/>
      <c r="E121" s="26" t="str">
        <f t="shared" si="2"/>
        <v>#REF!</v>
      </c>
      <c r="F121" s="32" t="str">
        <f t="shared" si="3"/>
        <v>#REF!</v>
      </c>
      <c r="G121" s="15">
        <f>IFERROR(__xludf.DUMMYFUNCTION("IF(COUNTIF(IMPORTRANGE(""https://docs.google.com/spreadsheets/d/1xytwrrnzAdDwj8WFj5u6b5L5uYRsNheZVC4UcGqUzKQ/edit"", ""'Full Time Load'!B:B""), ""*"" &amp; MID(A121, 2, FIND(""]"", A121) - 2) &amp; ""*"") &gt; 0, 1, 0)"),0.0)</f>
        <v>0</v>
      </c>
    </row>
    <row r="122" ht="15.75" customHeight="1">
      <c r="A122" s="15" t="str">
        <f>IFERROR(__xludf.DUMMYFUNCTION("""COMPUTED_VALUE"""),"[NAAO] Md. Nahid Anam Opu")</f>
        <v>[NAAO] Md. Nahid Anam Opu</v>
      </c>
      <c r="B122" s="15">
        <f t="shared" si="1"/>
        <v>0</v>
      </c>
      <c r="C122" s="15" t="str">
        <f>IFERROR(__xludf.DUMMYFUNCTION(" QUERY(IMPORTRANGE(""https://docs.google.com/spreadsheets/d/1xytwrrnzAdDwj8WFj5u6b5L5uYRsNheZVC4UcGqUzKQ/edit?gid=1891914664#gid=1891914664"", ""Faculty-wise All!A2:D""), ""SELECT Col4 WHERE Col1 = '"" &amp;A122 &amp;""'"")"),"#REF!")</f>
        <v>#REF!</v>
      </c>
      <c r="D122" s="15"/>
      <c r="E122" s="26" t="str">
        <f t="shared" si="2"/>
        <v>#REF!</v>
      </c>
      <c r="F122" s="32" t="str">
        <f t="shared" si="3"/>
        <v>#REF!</v>
      </c>
      <c r="G122" s="15">
        <f>IFERROR(__xludf.DUMMYFUNCTION("IF(COUNTIF(IMPORTRANGE(""https://docs.google.com/spreadsheets/d/1xytwrrnzAdDwj8WFj5u6b5L5uYRsNheZVC4UcGqUzKQ/edit"", ""'Full Time Load'!B:B""), ""*"" &amp; MID(A122, 2, FIND(""]"", A122) - 2) &amp; ""*"") &gt; 0, 1, 0)"),0.0)</f>
        <v>0</v>
      </c>
    </row>
    <row r="123" ht="15.75" customHeight="1">
      <c r="A123" s="15" t="str">
        <f>IFERROR(__xludf.DUMMYFUNCTION("""COMPUTED_VALUE"""),"[NAIM] Naimur Rahman")</f>
        <v>[NAIM] Naimur Rahman</v>
      </c>
      <c r="B123" s="15">
        <f t="shared" si="1"/>
        <v>0</v>
      </c>
      <c r="C123" s="15" t="str">
        <f>IFERROR(__xludf.DUMMYFUNCTION(" QUERY(IMPORTRANGE(""https://docs.google.com/spreadsheets/d/1xytwrrnzAdDwj8WFj5u6b5L5uYRsNheZVC4UcGqUzKQ/edit?gid=1891914664#gid=1891914664"", ""Faculty-wise All!A2:D""), ""SELECT Col4 WHERE Col1 = '"" &amp;A123 &amp;""'"")"),"#REF!")</f>
        <v>#REF!</v>
      </c>
      <c r="D123" s="15"/>
      <c r="E123" s="26" t="str">
        <f t="shared" si="2"/>
        <v>#REF!</v>
      </c>
      <c r="F123" s="32" t="str">
        <f t="shared" si="3"/>
        <v>#REF!</v>
      </c>
      <c r="G123" s="15">
        <f>IFERROR(__xludf.DUMMYFUNCTION("IF(COUNTIF(IMPORTRANGE(""https://docs.google.com/spreadsheets/d/1xytwrrnzAdDwj8WFj5u6b5L5uYRsNheZVC4UcGqUzKQ/edit"", ""'Full Time Load'!B:B""), ""*"" &amp; MID(A123, 2, FIND(""]"", A123) - 2) &amp; ""*"") &gt; 0, 1, 0)"),0.0)</f>
        <v>0</v>
      </c>
    </row>
    <row r="124" ht="15.75" customHeight="1">
      <c r="A124" s="15" t="str">
        <f>IFERROR(__xludf.DUMMYFUNCTION("""COMPUTED_VALUE"""),"[NALE] Nishat Anjum Lea")</f>
        <v>[NALE] Nishat Anjum Lea</v>
      </c>
      <c r="B124" s="15">
        <f t="shared" si="1"/>
        <v>0</v>
      </c>
      <c r="C124" s="15" t="str">
        <f>IFERROR(__xludf.DUMMYFUNCTION(" QUERY(IMPORTRANGE(""https://docs.google.com/spreadsheets/d/1xytwrrnzAdDwj8WFj5u6b5L5uYRsNheZVC4UcGqUzKQ/edit?gid=1891914664#gid=1891914664"", ""Faculty-wise All!A2:D""), ""SELECT Col4 WHERE Col1 = '"" &amp;A124 &amp;""'"")"),"#REF!")</f>
        <v>#REF!</v>
      </c>
      <c r="D124" s="15"/>
      <c r="E124" s="26" t="str">
        <f t="shared" si="2"/>
        <v>#REF!</v>
      </c>
      <c r="F124" s="32" t="str">
        <f t="shared" si="3"/>
        <v>#REF!</v>
      </c>
      <c r="G124" s="15">
        <f>IFERROR(__xludf.DUMMYFUNCTION("IF(COUNTIF(IMPORTRANGE(""https://docs.google.com/spreadsheets/d/1xytwrrnzAdDwj8WFj5u6b5L5uYRsNheZVC4UcGqUzKQ/edit"", ""'Full Time Load'!B:B""), ""*"" &amp; MID(A124, 2, FIND(""]"", A124) - 2) &amp; ""*"") &gt; 0, 1, 0)"),0.0)</f>
        <v>0</v>
      </c>
    </row>
    <row r="125" ht="15.75" customHeight="1">
      <c r="A125" s="15" t="str">
        <f>IFERROR(__xludf.DUMMYFUNCTION("""COMPUTED_VALUE"""),"[NAN] Nujhat Afrin")</f>
        <v>[NAN] Nujhat Afrin</v>
      </c>
      <c r="B125" s="15">
        <f t="shared" si="1"/>
        <v>0</v>
      </c>
      <c r="C125" s="15" t="str">
        <f>IFERROR(__xludf.DUMMYFUNCTION(" QUERY(IMPORTRANGE(""https://docs.google.com/spreadsheets/d/1xytwrrnzAdDwj8WFj5u6b5L5uYRsNheZVC4UcGqUzKQ/edit?gid=1891914664#gid=1891914664"", ""Faculty-wise All!A2:D""), ""SELECT Col4 WHERE Col1 = '"" &amp;A125 &amp;""'"")"),"#REF!")</f>
        <v>#REF!</v>
      </c>
      <c r="D125" s="15"/>
      <c r="E125" s="26" t="str">
        <f t="shared" si="2"/>
        <v>#REF!</v>
      </c>
      <c r="F125" s="32" t="str">
        <f t="shared" si="3"/>
        <v>#REF!</v>
      </c>
      <c r="G125" s="15">
        <f>IFERROR(__xludf.DUMMYFUNCTION("IF(COUNTIF(IMPORTRANGE(""https://docs.google.com/spreadsheets/d/1xytwrrnzAdDwj8WFj5u6b5L5uYRsNheZVC4UcGqUzKQ/edit"", ""'Full Time Load'!B:B""), ""*"" &amp; MID(A125, 2, FIND(""]"", A125) - 2) &amp; ""*"") &gt; 0, 1, 0)"),0.0)</f>
        <v>0</v>
      </c>
    </row>
    <row r="126" ht="15.75" customHeight="1">
      <c r="A126" s="15" t="str">
        <f>IFERROR(__xludf.DUMMYFUNCTION("""COMPUTED_VALUE"""),"[NDTH] Nipa Debnath")</f>
        <v>[NDTH] Nipa Debnath</v>
      </c>
      <c r="B126" s="15">
        <f t="shared" si="1"/>
        <v>0</v>
      </c>
      <c r="C126" s="15" t="str">
        <f>IFERROR(__xludf.DUMMYFUNCTION(" QUERY(IMPORTRANGE(""https://docs.google.com/spreadsheets/d/1xytwrrnzAdDwj8WFj5u6b5L5uYRsNheZVC4UcGqUzKQ/edit?gid=1891914664#gid=1891914664"", ""Faculty-wise All!A2:D""), ""SELECT Col4 WHERE Col1 = '"" &amp;A126 &amp;""'"")"),"#REF!")</f>
        <v>#REF!</v>
      </c>
      <c r="D126" s="15"/>
      <c r="E126" s="26" t="str">
        <f t="shared" si="2"/>
        <v>#REF!</v>
      </c>
      <c r="F126" s="32" t="str">
        <f t="shared" si="3"/>
        <v>#REF!</v>
      </c>
      <c r="G126" s="15">
        <f>IFERROR(__xludf.DUMMYFUNCTION("IF(COUNTIF(IMPORTRANGE(""https://docs.google.com/spreadsheets/d/1xytwrrnzAdDwj8WFj5u6b5L5uYRsNheZVC4UcGqUzKQ/edit"", ""'Full Time Load'!B:B""), ""*"" &amp; MID(A126, 2, FIND(""]"", A126) - 2) &amp; ""*"") &gt; 0, 1, 0)"),0.0)</f>
        <v>0</v>
      </c>
    </row>
    <row r="127" ht="15.75" customHeight="1">
      <c r="A127" s="15" t="str">
        <f>IFERROR(__xludf.DUMMYFUNCTION("""COMPUTED_VALUE"""),"[NI] Md. Nazrul Islam")</f>
        <v>[NI] Md. Nazrul Islam</v>
      </c>
      <c r="B127" s="15">
        <f t="shared" si="1"/>
        <v>0</v>
      </c>
      <c r="C127" s="15" t="str">
        <f>IFERROR(__xludf.DUMMYFUNCTION(" QUERY(IMPORTRANGE(""https://docs.google.com/spreadsheets/d/1xytwrrnzAdDwj8WFj5u6b5L5uYRsNheZVC4UcGqUzKQ/edit?gid=1891914664#gid=1891914664"", ""Faculty-wise All!A2:D""), ""SELECT Col4 WHERE Col1 = '"" &amp;A127 &amp;""'"")"),"#REF!")</f>
        <v>#REF!</v>
      </c>
      <c r="D127" s="15"/>
      <c r="E127" s="26" t="str">
        <f t="shared" si="2"/>
        <v>#REF!</v>
      </c>
      <c r="F127" s="32" t="str">
        <f t="shared" si="3"/>
        <v>#REF!</v>
      </c>
      <c r="G127" s="15">
        <f>IFERROR(__xludf.DUMMYFUNCTION("IF(COUNTIF(IMPORTRANGE(""https://docs.google.com/spreadsheets/d/1xytwrrnzAdDwj8WFj5u6b5L5uYRsNheZVC4UcGqUzKQ/edit"", ""'Full Time Load'!B:B""), ""*"" &amp; MID(A127, 2, FIND(""]"", A127) - 2) &amp; ""*"") &gt; 0, 1, 0)"),0.0)</f>
        <v>0</v>
      </c>
    </row>
    <row r="128" ht="15.75" customHeight="1">
      <c r="A128" s="15" t="str">
        <f>IFERROR(__xludf.DUMMYFUNCTION("""COMPUTED_VALUE"""),"[NIBI] Sheikh Md. Nibir")</f>
        <v>[NIBI] Sheikh Md. Nibir</v>
      </c>
      <c r="B128" s="15">
        <f t="shared" si="1"/>
        <v>0</v>
      </c>
      <c r="C128" s="15" t="str">
        <f>IFERROR(__xludf.DUMMYFUNCTION(" QUERY(IMPORTRANGE(""https://docs.google.com/spreadsheets/d/1xytwrrnzAdDwj8WFj5u6b5L5uYRsNheZVC4UcGqUzKQ/edit?gid=1891914664#gid=1891914664"", ""Faculty-wise All!A2:D""), ""SELECT Col4 WHERE Col1 = '"" &amp;A128 &amp;""'"")"),"#REF!")</f>
        <v>#REF!</v>
      </c>
      <c r="D128" s="15"/>
      <c r="E128" s="26" t="str">
        <f t="shared" si="2"/>
        <v>#REF!</v>
      </c>
      <c r="F128" s="32" t="str">
        <f t="shared" si="3"/>
        <v>#REF!</v>
      </c>
      <c r="G128" s="15">
        <f>IFERROR(__xludf.DUMMYFUNCTION("IF(COUNTIF(IMPORTRANGE(""https://docs.google.com/spreadsheets/d/1xytwrrnzAdDwj8WFj5u6b5L5uYRsNheZVC4UcGqUzKQ/edit"", ""'Full Time Load'!B:B""), ""*"" &amp; MID(A128, 2, FIND(""]"", A128) - 2) &amp; ""*"") &gt; 0, 1, 0)"),0.0)</f>
        <v>0</v>
      </c>
    </row>
    <row r="129" ht="15.75" customHeight="1">
      <c r="A129" s="15" t="str">
        <f>IFERROR(__xludf.DUMMYFUNCTION("""COMPUTED_VALUE"""),"[NJA] Nusrat Jahan Anika")</f>
        <v>[NJA] Nusrat Jahan Anika</v>
      </c>
      <c r="B129" s="15">
        <f t="shared" si="1"/>
        <v>0</v>
      </c>
      <c r="C129" s="15" t="str">
        <f>IFERROR(__xludf.DUMMYFUNCTION(" QUERY(IMPORTRANGE(""https://docs.google.com/spreadsheets/d/1xytwrrnzAdDwj8WFj5u6b5L5uYRsNheZVC4UcGqUzKQ/edit?gid=1891914664#gid=1891914664"", ""Faculty-wise All!A2:D""), ""SELECT Col4 WHERE Col1 = '"" &amp;A129 &amp;""'"")"),"#REF!")</f>
        <v>#REF!</v>
      </c>
      <c r="D129" s="15"/>
      <c r="E129" s="26" t="str">
        <f t="shared" si="2"/>
        <v>#REF!</v>
      </c>
      <c r="F129" s="32" t="str">
        <f t="shared" si="3"/>
        <v>#REF!</v>
      </c>
      <c r="G129" s="15">
        <f>IFERROR(__xludf.DUMMYFUNCTION("IF(COUNTIF(IMPORTRANGE(""https://docs.google.com/spreadsheets/d/1xytwrrnzAdDwj8WFj5u6b5L5uYRsNheZVC4UcGqUzKQ/edit"", ""'Full Time Load'!B:B""), ""*"" &amp; MID(A129, 2, FIND(""]"", A129) - 2) &amp; ""*"") &gt; 0, 1, 0)"),0.0)</f>
        <v>0</v>
      </c>
    </row>
    <row r="130" ht="15.75" customHeight="1">
      <c r="A130" s="15" t="str">
        <f>IFERROR(__xludf.DUMMYFUNCTION("""COMPUTED_VALUE"""),"[NJJO] Nusrat Jahan Jonaki")</f>
        <v>[NJJO] Nusrat Jahan Jonaki</v>
      </c>
      <c r="B130" s="15">
        <f t="shared" si="1"/>
        <v>0</v>
      </c>
      <c r="C130" s="15" t="str">
        <f>IFERROR(__xludf.DUMMYFUNCTION(" QUERY(IMPORTRANGE(""https://docs.google.com/spreadsheets/d/1xytwrrnzAdDwj8WFj5u6b5L5uYRsNheZVC4UcGqUzKQ/edit?gid=1891914664#gid=1891914664"", ""Faculty-wise All!A2:D""), ""SELECT Col4 WHERE Col1 = '"" &amp;A130 &amp;""'"")"),"#REF!")</f>
        <v>#REF!</v>
      </c>
      <c r="D130" s="15"/>
      <c r="E130" s="26" t="str">
        <f t="shared" si="2"/>
        <v>#REF!</v>
      </c>
      <c r="F130" s="32" t="str">
        <f t="shared" si="3"/>
        <v>#REF!</v>
      </c>
      <c r="G130" s="15">
        <f>IFERROR(__xludf.DUMMYFUNCTION("IF(COUNTIF(IMPORTRANGE(""https://docs.google.com/spreadsheets/d/1xytwrrnzAdDwj8WFj5u6b5L5uYRsNheZVC4UcGqUzKQ/edit"", ""'Full Time Load'!B:B""), ""*"" &amp; MID(A130, 2, FIND(""]"", A130) - 2) &amp; ""*"") &gt; 0, 1, 0)"),0.0)</f>
        <v>0</v>
      </c>
    </row>
    <row r="131" ht="15.75" customHeight="1">
      <c r="A131" s="15" t="str">
        <f>IFERROR(__xludf.DUMMYFUNCTION("""COMPUTED_VALUE"""),"[NKY] Nafisa Khan Youkee")</f>
        <v>[NKY] Nafisa Khan Youkee</v>
      </c>
      <c r="B131" s="15">
        <f t="shared" si="1"/>
        <v>0</v>
      </c>
      <c r="C131" s="15" t="str">
        <f>IFERROR(__xludf.DUMMYFUNCTION(" QUERY(IMPORTRANGE(""https://docs.google.com/spreadsheets/d/1xytwrrnzAdDwj8WFj5u6b5L5uYRsNheZVC4UcGqUzKQ/edit?gid=1891914664#gid=1891914664"", ""Faculty-wise All!A2:D""), ""SELECT Col4 WHERE Col1 = '"" &amp;A131 &amp;""'"")"),"#REF!")</f>
        <v>#REF!</v>
      </c>
      <c r="D131" s="15"/>
      <c r="E131" s="26" t="str">
        <f t="shared" si="2"/>
        <v>#REF!</v>
      </c>
      <c r="F131" s="32" t="str">
        <f t="shared" si="3"/>
        <v>#REF!</v>
      </c>
      <c r="G131" s="15">
        <f>IFERROR(__xludf.DUMMYFUNCTION("IF(COUNTIF(IMPORTRANGE(""https://docs.google.com/spreadsheets/d/1xytwrrnzAdDwj8WFj5u6b5L5uYRsNheZVC4UcGqUzKQ/edit"", ""'Full Time Load'!B:B""), ""*"" &amp; MID(A131, 2, FIND(""]"", A131) - 2) &amp; ""*"") &gt; 0, 1, 0)"),0.0)</f>
        <v>0</v>
      </c>
    </row>
    <row r="132" ht="15.75" customHeight="1">
      <c r="A132" s="15" t="str">
        <f>IFERROR(__xludf.DUMMYFUNCTION("""COMPUTED_VALUE"""),"[NON] Noman Amin")</f>
        <v>[NON] Noman Amin</v>
      </c>
      <c r="B132" s="15">
        <f t="shared" si="1"/>
        <v>0</v>
      </c>
      <c r="C132" s="15" t="str">
        <f>IFERROR(__xludf.DUMMYFUNCTION(" QUERY(IMPORTRANGE(""https://docs.google.com/spreadsheets/d/1xytwrrnzAdDwj8WFj5u6b5L5uYRsNheZVC4UcGqUzKQ/edit?gid=1891914664#gid=1891914664"", ""Faculty-wise All!A2:D""), ""SELECT Col4 WHERE Col1 = '"" &amp;A132 &amp;""'"")"),"#REF!")</f>
        <v>#REF!</v>
      </c>
      <c r="D132" s="15"/>
      <c r="E132" s="26" t="str">
        <f t="shared" si="2"/>
        <v>#REF!</v>
      </c>
      <c r="F132" s="32" t="str">
        <f t="shared" si="3"/>
        <v>#REF!</v>
      </c>
      <c r="G132" s="15">
        <f>IFERROR(__xludf.DUMMYFUNCTION("IF(COUNTIF(IMPORTRANGE(""https://docs.google.com/spreadsheets/d/1xytwrrnzAdDwj8WFj5u6b5L5uYRsNheZVC4UcGqUzKQ/edit"", ""'Full Time Load'!B:B""), ""*"" &amp; MID(A132, 2, FIND(""]"", A132) - 2) &amp; ""*"") &gt; 0, 1, 0)"),0.0)</f>
        <v>0</v>
      </c>
    </row>
    <row r="133" ht="15.75" customHeight="1">
      <c r="A133" s="15" t="str">
        <f>IFERROR(__xludf.DUMMYFUNCTION("""COMPUTED_VALUE"""),"[NOOR] Asaduzzaman Noor")</f>
        <v>[NOOR] Asaduzzaman Noor</v>
      </c>
      <c r="B133" s="15">
        <f t="shared" si="1"/>
        <v>0</v>
      </c>
      <c r="C133" s="15" t="str">
        <f>IFERROR(__xludf.DUMMYFUNCTION(" QUERY(IMPORTRANGE(""https://docs.google.com/spreadsheets/d/1xytwrrnzAdDwj8WFj5u6b5L5uYRsNheZVC4UcGqUzKQ/edit?gid=1891914664#gid=1891914664"", ""Faculty-wise All!A2:D""), ""SELECT Col4 WHERE Col1 = '"" &amp;A133 &amp;""'"")"),"#REF!")</f>
        <v>#REF!</v>
      </c>
      <c r="D133" s="15"/>
      <c r="E133" s="26" t="str">
        <f t="shared" si="2"/>
        <v>#REF!</v>
      </c>
      <c r="F133" s="32" t="str">
        <f t="shared" si="3"/>
        <v>#REF!</v>
      </c>
      <c r="G133" s="15">
        <f>IFERROR(__xludf.DUMMYFUNCTION("IF(COUNTIF(IMPORTRANGE(""https://docs.google.com/spreadsheets/d/1xytwrrnzAdDwj8WFj5u6b5L5uYRsNheZVC4UcGqUzKQ/edit"", ""'Full Time Load'!B:B""), ""*"" &amp; MID(A133, 2, FIND(""]"", A133) - 2) &amp; ""*"") &gt; 0, 1, 0)"),0.0)</f>
        <v>0</v>
      </c>
    </row>
    <row r="134" ht="15.75" customHeight="1">
      <c r="A134" s="15" t="str">
        <f>IFERROR(__xludf.DUMMYFUNCTION("""COMPUTED_VALUE"""),"[RADT] Radiathun Tasnia")</f>
        <v>[RADT] Radiathun Tasnia</v>
      </c>
      <c r="B134" s="15">
        <f t="shared" si="1"/>
        <v>0</v>
      </c>
      <c r="C134" s="15" t="str">
        <f>IFERROR(__xludf.DUMMYFUNCTION(" QUERY(IMPORTRANGE(""https://docs.google.com/spreadsheets/d/1xytwrrnzAdDwj8WFj5u6b5L5uYRsNheZVC4UcGqUzKQ/edit?gid=1891914664#gid=1891914664"", ""Faculty-wise All!A2:D""), ""SELECT Col4 WHERE Col1 = '"" &amp;A134 &amp;""'"")"),"#REF!")</f>
        <v>#REF!</v>
      </c>
      <c r="D134" s="15"/>
      <c r="E134" s="26" t="str">
        <f t="shared" si="2"/>
        <v>#REF!</v>
      </c>
      <c r="F134" s="32" t="str">
        <f t="shared" si="3"/>
        <v>#REF!</v>
      </c>
      <c r="G134" s="15">
        <f>IFERROR(__xludf.DUMMYFUNCTION("IF(COUNTIF(IMPORTRANGE(""https://docs.google.com/spreadsheets/d/1xytwrrnzAdDwj8WFj5u6b5L5uYRsNheZVC4UcGqUzKQ/edit"", ""'Full Time Load'!B:B""), ""*"" &amp; MID(A134, 2, FIND(""]"", A134) - 2) &amp; ""*"") &gt; 0, 1, 0)"),0.0)</f>
        <v>0</v>
      </c>
    </row>
    <row r="135" ht="15.75" customHeight="1">
      <c r="A135" s="15" t="str">
        <f>IFERROR(__xludf.DUMMYFUNCTION("""COMPUTED_VALUE"""),"[RAJA] Md. Rafsan Jani")</f>
        <v>[RAJA] Md. Rafsan Jani</v>
      </c>
      <c r="B135" s="15">
        <f t="shared" si="1"/>
        <v>0</v>
      </c>
      <c r="C135" s="15" t="str">
        <f>IFERROR(__xludf.DUMMYFUNCTION(" QUERY(IMPORTRANGE(""https://docs.google.com/spreadsheets/d/1xytwrrnzAdDwj8WFj5u6b5L5uYRsNheZVC4UcGqUzKQ/edit?gid=1891914664#gid=1891914664"", ""Faculty-wise All!A2:D""), ""SELECT Col4 WHERE Col1 = '"" &amp;A135 &amp;""'"")"),"#REF!")</f>
        <v>#REF!</v>
      </c>
      <c r="D135" s="15"/>
      <c r="E135" s="26" t="str">
        <f t="shared" si="2"/>
        <v>#REF!</v>
      </c>
      <c r="F135" s="32" t="str">
        <f t="shared" si="3"/>
        <v>#REF!</v>
      </c>
      <c r="G135" s="15">
        <f>IFERROR(__xludf.DUMMYFUNCTION("IF(COUNTIF(IMPORTRANGE(""https://docs.google.com/spreadsheets/d/1xytwrrnzAdDwj8WFj5u6b5L5uYRsNheZVC4UcGqUzKQ/edit"", ""'Full Time Load'!B:B""), ""*"" &amp; MID(A135, 2, FIND(""]"", A135) - 2) &amp; ""*"") &gt; 0, 1, 0)"),0.0)</f>
        <v>0</v>
      </c>
    </row>
    <row r="136" ht="15.75" customHeight="1">
      <c r="A136" s="15" t="str">
        <f>IFERROR(__xludf.DUMMYFUNCTION("""COMPUTED_VALUE"""),"[RAS] Rubina Arfin Somiya")</f>
        <v>[RAS] Rubina Arfin Somiya</v>
      </c>
      <c r="B136" s="15">
        <f t="shared" si="1"/>
        <v>0</v>
      </c>
      <c r="C136" s="15" t="str">
        <f>IFERROR(__xludf.DUMMYFUNCTION(" QUERY(IMPORTRANGE(""https://docs.google.com/spreadsheets/d/1xytwrrnzAdDwj8WFj5u6b5L5uYRsNheZVC4UcGqUzKQ/edit?gid=1891914664#gid=1891914664"", ""Faculty-wise All!A2:D""), ""SELECT Col4 WHERE Col1 = '"" &amp;A136 &amp;""'"")"),"#REF!")</f>
        <v>#REF!</v>
      </c>
      <c r="D136" s="15"/>
      <c r="E136" s="26" t="str">
        <f t="shared" si="2"/>
        <v>#REF!</v>
      </c>
      <c r="F136" s="32" t="str">
        <f t="shared" si="3"/>
        <v>#REF!</v>
      </c>
      <c r="G136" s="15">
        <f>IFERROR(__xludf.DUMMYFUNCTION("IF(COUNTIF(IMPORTRANGE(""https://docs.google.com/spreadsheets/d/1xytwrrnzAdDwj8WFj5u6b5L5uYRsNheZVC4UcGqUzKQ/edit"", ""'Full Time Load'!B:B""), ""*"" &amp; MID(A136, 2, FIND(""]"", A136) - 2) &amp; ""*"") &gt; 0, 1, 0)"),0.0)</f>
        <v>0</v>
      </c>
    </row>
    <row r="137" ht="15.75" customHeight="1">
      <c r="A137" s="15" t="str">
        <f>IFERROR(__xludf.DUMMYFUNCTION("""COMPUTED_VALUE"""),"[RBH] Ramisha Binty Hasan")</f>
        <v>[RBH] Ramisha Binty Hasan</v>
      </c>
      <c r="B137" s="15">
        <f t="shared" si="1"/>
        <v>0</v>
      </c>
      <c r="C137" s="15" t="str">
        <f>IFERROR(__xludf.DUMMYFUNCTION(" QUERY(IMPORTRANGE(""https://docs.google.com/spreadsheets/d/1xytwrrnzAdDwj8WFj5u6b5L5uYRsNheZVC4UcGqUzKQ/edit?gid=1891914664#gid=1891914664"", ""Faculty-wise All!A2:D""), ""SELECT Col4 WHERE Col1 = '"" &amp;A137 &amp;""'"")"),"#REF!")</f>
        <v>#REF!</v>
      </c>
      <c r="D137" s="15"/>
      <c r="E137" s="26" t="str">
        <f t="shared" si="2"/>
        <v>#REF!</v>
      </c>
      <c r="F137" s="32" t="str">
        <f t="shared" si="3"/>
        <v>#REF!</v>
      </c>
      <c r="G137" s="15">
        <f>IFERROR(__xludf.DUMMYFUNCTION("IF(COUNTIF(IMPORTRANGE(""https://docs.google.com/spreadsheets/d/1xytwrrnzAdDwj8WFj5u6b5L5uYRsNheZVC4UcGqUzKQ/edit"", ""'Full Time Load'!B:B""), ""*"" &amp; MID(A137, 2, FIND(""]"", A137) - 2) &amp; ""*"") &gt; 0, 1, 0)"),0.0)</f>
        <v>0</v>
      </c>
    </row>
    <row r="138" ht="15.75" customHeight="1">
      <c r="A138" s="15" t="str">
        <f>IFERROR(__xludf.DUMMYFUNCTION("""COMPUTED_VALUE"""),"[RFD] Rifat Ahommed")</f>
        <v>[RFD] Rifat Ahommed</v>
      </c>
      <c r="B138" s="15">
        <f t="shared" si="1"/>
        <v>0</v>
      </c>
      <c r="C138" s="15" t="str">
        <f>IFERROR(__xludf.DUMMYFUNCTION(" QUERY(IMPORTRANGE(""https://docs.google.com/spreadsheets/d/1xytwrrnzAdDwj8WFj5u6b5L5uYRsNheZVC4UcGqUzKQ/edit?gid=1891914664#gid=1891914664"", ""Faculty-wise All!A2:D""), ""SELECT Col4 WHERE Col1 = '"" &amp;A138 &amp;""'"")"),"#REF!")</f>
        <v>#REF!</v>
      </c>
      <c r="D138" s="15"/>
      <c r="E138" s="26" t="str">
        <f t="shared" si="2"/>
        <v>#REF!</v>
      </c>
      <c r="F138" s="32" t="str">
        <f t="shared" si="3"/>
        <v>#REF!</v>
      </c>
      <c r="G138" s="15">
        <f>IFERROR(__xludf.DUMMYFUNCTION("IF(COUNTIF(IMPORTRANGE(""https://docs.google.com/spreadsheets/d/1xytwrrnzAdDwj8WFj5u6b5L5uYRsNheZVC4UcGqUzKQ/edit"", ""'Full Time Load'!B:B""), ""*"" &amp; MID(A138, 2, FIND(""]"", A138) - 2) &amp; ""*"") &gt; 0, 1, 0)"),0.0)</f>
        <v>0</v>
      </c>
    </row>
    <row r="139" ht="15.75" customHeight="1">
      <c r="A139" s="15" t="str">
        <f>IFERROR(__xludf.DUMMYFUNCTION("""COMPUTED_VALUE"""),"[RIA] Rubia Anwar")</f>
        <v>[RIA] Rubia Anwar</v>
      </c>
      <c r="B139" s="15">
        <f t="shared" si="1"/>
        <v>0</v>
      </c>
      <c r="C139" s="15" t="str">
        <f>IFERROR(__xludf.DUMMYFUNCTION(" QUERY(IMPORTRANGE(""https://docs.google.com/spreadsheets/d/1xytwrrnzAdDwj8WFj5u6b5L5uYRsNheZVC4UcGqUzKQ/edit?gid=1891914664#gid=1891914664"", ""Faculty-wise All!A2:D""), ""SELECT Col4 WHERE Col1 = '"" &amp;A139 &amp;""'"")"),"#REF!")</f>
        <v>#REF!</v>
      </c>
      <c r="D139" s="15"/>
      <c r="E139" s="26" t="str">
        <f t="shared" si="2"/>
        <v>#REF!</v>
      </c>
      <c r="F139" s="32" t="str">
        <f t="shared" si="3"/>
        <v>#REF!</v>
      </c>
      <c r="G139" s="15">
        <f>IFERROR(__xludf.DUMMYFUNCTION("IF(COUNTIF(IMPORTRANGE(""https://docs.google.com/spreadsheets/d/1xytwrrnzAdDwj8WFj5u6b5L5uYRsNheZVC4UcGqUzKQ/edit"", ""'Full Time Load'!B:B""), ""*"" &amp; MID(A139, 2, FIND(""]"", A139) - 2) &amp; ""*"") &gt; 0, 1, 0)"),0.0)</f>
        <v>0</v>
      </c>
    </row>
    <row r="140" ht="15.75" customHeight="1">
      <c r="A140" s="15" t="str">
        <f>IFERROR(__xludf.DUMMYFUNCTION("""COMPUTED_VALUE"""),"[RKM] Md. Rakibul Islam")</f>
        <v>[RKM] Md. Rakibul Islam</v>
      </c>
      <c r="B140" s="15">
        <f t="shared" si="1"/>
        <v>0</v>
      </c>
      <c r="C140" s="15" t="str">
        <f>IFERROR(__xludf.DUMMYFUNCTION(" QUERY(IMPORTRANGE(""https://docs.google.com/spreadsheets/d/1xytwrrnzAdDwj8WFj5u6b5L5uYRsNheZVC4UcGqUzKQ/edit?gid=1891914664#gid=1891914664"", ""Faculty-wise All!A2:D""), ""SELECT Col4 WHERE Col1 = '"" &amp;A140 &amp;""'"")"),"#REF!")</f>
        <v>#REF!</v>
      </c>
      <c r="D140" s="15"/>
      <c r="E140" s="26" t="str">
        <f t="shared" si="2"/>
        <v>#REF!</v>
      </c>
      <c r="F140" s="32" t="str">
        <f t="shared" si="3"/>
        <v>#REF!</v>
      </c>
      <c r="G140" s="15">
        <f>IFERROR(__xludf.DUMMYFUNCTION("IF(COUNTIF(IMPORTRANGE(""https://docs.google.com/spreadsheets/d/1xytwrrnzAdDwj8WFj5u6b5L5uYRsNheZVC4UcGqUzKQ/edit"", ""'Full Time Load'!B:B""), ""*"" &amp; MID(A140, 2, FIND(""]"", A140) - 2) &amp; ""*"") &gt; 0, 1, 0)"),0.0)</f>
        <v>0</v>
      </c>
    </row>
    <row r="141" ht="15.75" customHeight="1">
      <c r="A141" s="15" t="str">
        <f>IFERROR(__xludf.DUMMYFUNCTION("""COMPUTED_VALUE"""),"[RZC] Md. Reasad Zaman Chowdhury")</f>
        <v>[RZC] Md. Reasad Zaman Chowdhury</v>
      </c>
      <c r="B141" s="15">
        <f t="shared" si="1"/>
        <v>0</v>
      </c>
      <c r="C141" s="15" t="str">
        <f>IFERROR(__xludf.DUMMYFUNCTION(" QUERY(IMPORTRANGE(""https://docs.google.com/spreadsheets/d/1xytwrrnzAdDwj8WFj5u6b5L5uYRsNheZVC4UcGqUzKQ/edit?gid=1891914664#gid=1891914664"", ""Faculty-wise All!A2:D""), ""SELECT Col4 WHERE Col1 = '"" &amp;A141 &amp;""'"")"),"#REF!")</f>
        <v>#REF!</v>
      </c>
      <c r="D141" s="15"/>
      <c r="E141" s="26" t="str">
        <f t="shared" si="2"/>
        <v>#REF!</v>
      </c>
      <c r="F141" s="32" t="str">
        <f t="shared" si="3"/>
        <v>#REF!</v>
      </c>
      <c r="G141" s="15">
        <f>IFERROR(__xludf.DUMMYFUNCTION("IF(COUNTIF(IMPORTRANGE(""https://docs.google.com/spreadsheets/d/1xytwrrnzAdDwj8WFj5u6b5L5uYRsNheZVC4UcGqUzKQ/edit"", ""'Full Time Load'!B:B""), ""*"" &amp; MID(A141, 2, FIND(""]"", A141) - 2) &amp; ""*"") &gt; 0, 1, 0)"),0.0)</f>
        <v>0</v>
      </c>
    </row>
    <row r="142" ht="15.75" customHeight="1">
      <c r="A142" s="15" t="str">
        <f>IFERROR(__xludf.DUMMYFUNCTION("""COMPUTED_VALUE"""),"[SAHO] Sadia Hossain")</f>
        <v>[SAHO] Sadia Hossain</v>
      </c>
      <c r="B142" s="15">
        <f t="shared" si="1"/>
        <v>0</v>
      </c>
      <c r="C142" s="15" t="str">
        <f>IFERROR(__xludf.DUMMYFUNCTION(" QUERY(IMPORTRANGE(""https://docs.google.com/spreadsheets/d/1xytwrrnzAdDwj8WFj5u6b5L5uYRsNheZVC4UcGqUzKQ/edit?gid=1891914664#gid=1891914664"", ""Faculty-wise All!A2:D""), ""SELECT Col4 WHERE Col1 = '"" &amp;A142 &amp;""'"")"),"#REF!")</f>
        <v>#REF!</v>
      </c>
      <c r="D142" s="15"/>
      <c r="E142" s="26" t="str">
        <f t="shared" si="2"/>
        <v>#REF!</v>
      </c>
      <c r="F142" s="32" t="str">
        <f t="shared" si="3"/>
        <v>#REF!</v>
      </c>
      <c r="G142" s="15">
        <f>IFERROR(__xludf.DUMMYFUNCTION("IF(COUNTIF(IMPORTRANGE(""https://docs.google.com/spreadsheets/d/1xytwrrnzAdDwj8WFj5u6b5L5uYRsNheZVC4UcGqUzKQ/edit"", ""'Full Time Load'!B:B""), ""*"" &amp; MID(A142, 2, FIND(""]"", A142) - 2) &amp; ""*"") &gt; 0, 1, 0)"),0.0)</f>
        <v>0</v>
      </c>
    </row>
    <row r="143" ht="15.75" customHeight="1">
      <c r="A143" s="15" t="str">
        <f>IFERROR(__xludf.DUMMYFUNCTION("""COMPUTED_VALUE"""),"[SAMD] Shifat Ahmed")</f>
        <v>[SAMD] Shifat Ahmed</v>
      </c>
      <c r="B143" s="15">
        <f t="shared" si="1"/>
        <v>0</v>
      </c>
      <c r="C143" s="15" t="str">
        <f>IFERROR(__xludf.DUMMYFUNCTION(" QUERY(IMPORTRANGE(""https://docs.google.com/spreadsheets/d/1xytwrrnzAdDwj8WFj5u6b5L5uYRsNheZVC4UcGqUzKQ/edit?gid=1891914664#gid=1891914664"", ""Faculty-wise All!A2:D""), ""SELECT Col4 WHERE Col1 = '"" &amp;A143 &amp;""'"")"),"#REF!")</f>
        <v>#REF!</v>
      </c>
      <c r="D143" s="15">
        <v>1.0</v>
      </c>
      <c r="E143" s="26" t="str">
        <f t="shared" si="2"/>
        <v>#REF!</v>
      </c>
      <c r="F143" s="32" t="str">
        <f t="shared" si="3"/>
        <v>#REF!</v>
      </c>
      <c r="G143" s="15">
        <f>IFERROR(__xludf.DUMMYFUNCTION("IF(COUNTIF(IMPORTRANGE(""https://docs.google.com/spreadsheets/d/1xytwrrnzAdDwj8WFj5u6b5L5uYRsNheZVC4UcGqUzKQ/edit"", ""'Full Time Load'!B:B""), ""*"" &amp; MID(A143, 2, FIND(""]"", A143) - 2) &amp; ""*"") &gt; 0, 1, 0)"),0.0)</f>
        <v>0</v>
      </c>
      <c r="H143" s="43" t="s">
        <v>757</v>
      </c>
    </row>
    <row r="144" ht="15.75" customHeight="1">
      <c r="A144" s="15" t="str">
        <f>IFERROR(__xludf.DUMMYFUNCTION("""COMPUTED_VALUE"""),"[SAT] Sadia Afroj Tithi")</f>
        <v>[SAT] Sadia Afroj Tithi</v>
      </c>
      <c r="B144" s="15">
        <f t="shared" si="1"/>
        <v>0</v>
      </c>
      <c r="C144" s="15" t="str">
        <f>IFERROR(__xludf.DUMMYFUNCTION(" QUERY(IMPORTRANGE(""https://docs.google.com/spreadsheets/d/1xytwrrnzAdDwj8WFj5u6b5L5uYRsNheZVC4UcGqUzKQ/edit?gid=1891914664#gid=1891914664"", ""Faculty-wise All!A2:D""), ""SELECT Col4 WHERE Col1 = '"" &amp;A144 &amp;""'"")"),"#REF!")</f>
        <v>#REF!</v>
      </c>
      <c r="D144" s="15"/>
      <c r="E144" s="26" t="str">
        <f t="shared" si="2"/>
        <v>#REF!</v>
      </c>
      <c r="F144" s="32" t="str">
        <f t="shared" si="3"/>
        <v>#REF!</v>
      </c>
      <c r="G144" s="15">
        <f>IFERROR(__xludf.DUMMYFUNCTION("IF(COUNTIF(IMPORTRANGE(""https://docs.google.com/spreadsheets/d/1xytwrrnzAdDwj8WFj5u6b5L5uYRsNheZVC4UcGqUzKQ/edit"", ""'Full Time Load'!B:B""), ""*"" &amp; MID(A144, 2, FIND(""]"", A144) - 2) &amp; ""*"") &gt; 0, 1, 0)"),0.0)</f>
        <v>0</v>
      </c>
    </row>
    <row r="145" ht="15.75" customHeight="1">
      <c r="A145" s="15" t="str">
        <f>IFERROR(__xludf.DUMMYFUNCTION("""COMPUTED_VALUE"""),"[SBB] Md. Shohel Babu")</f>
        <v>[SBB] Md. Shohel Babu</v>
      </c>
      <c r="B145" s="15">
        <f t="shared" si="1"/>
        <v>0</v>
      </c>
      <c r="C145" s="15" t="str">
        <f>IFERROR(__xludf.DUMMYFUNCTION(" QUERY(IMPORTRANGE(""https://docs.google.com/spreadsheets/d/1xytwrrnzAdDwj8WFj5u6b5L5uYRsNheZVC4UcGqUzKQ/edit?gid=1891914664#gid=1891914664"", ""Faculty-wise All!A2:D""), ""SELECT Col4 WHERE Col1 = '"" &amp;A145 &amp;""'"")"),"#REF!")</f>
        <v>#REF!</v>
      </c>
      <c r="D145" s="15">
        <v>7.0</v>
      </c>
      <c r="E145" s="26" t="str">
        <f t="shared" si="2"/>
        <v>#REF!</v>
      </c>
      <c r="F145" s="32" t="str">
        <f t="shared" si="3"/>
        <v>#REF!</v>
      </c>
      <c r="G145" s="15">
        <f>IFERROR(__xludf.DUMMYFUNCTION("IF(COUNTIF(IMPORTRANGE(""https://docs.google.com/spreadsheets/d/1xytwrrnzAdDwj8WFj5u6b5L5uYRsNheZVC4UcGqUzKQ/edit"", ""'Full Time Load'!B:B""), ""*"" &amp; MID(A145, 2, FIND(""]"", A145) - 2) &amp; ""*"") &gt; 0, 1, 0)"),0.0)</f>
        <v>0</v>
      </c>
      <c r="H145" s="43" t="s">
        <v>758</v>
      </c>
    </row>
    <row r="146" ht="15.75" customHeight="1">
      <c r="A146" s="15" t="str">
        <f>IFERROR(__xludf.DUMMYFUNCTION("""COMPUTED_VALUE"""),"[SDK] Shimul Dey Katha")</f>
        <v>[SDK] Shimul Dey Katha</v>
      </c>
      <c r="B146" s="15">
        <f t="shared" si="1"/>
        <v>0</v>
      </c>
      <c r="C146" s="15" t="str">
        <f>IFERROR(__xludf.DUMMYFUNCTION(" QUERY(IMPORTRANGE(""https://docs.google.com/spreadsheets/d/1xytwrrnzAdDwj8WFj5u6b5L5uYRsNheZVC4UcGqUzKQ/edit?gid=1891914664#gid=1891914664"", ""Faculty-wise All!A2:D""), ""SELECT Col4 WHERE Col1 = '"" &amp;A146 &amp;""'"")"),"#REF!")</f>
        <v>#REF!</v>
      </c>
      <c r="D146" s="15">
        <v>6.0</v>
      </c>
      <c r="E146" s="26" t="str">
        <f t="shared" si="2"/>
        <v>#REF!</v>
      </c>
      <c r="F146" s="32" t="str">
        <f t="shared" si="3"/>
        <v>#REF!</v>
      </c>
      <c r="G146" s="15">
        <f>IFERROR(__xludf.DUMMYFUNCTION("IF(COUNTIF(IMPORTRANGE(""https://docs.google.com/spreadsheets/d/1xytwrrnzAdDwj8WFj5u6b5L5uYRsNheZVC4UcGqUzKQ/edit"", ""'Full Time Load'!B:B""), ""*"" &amp; MID(A146, 2, FIND(""]"", A146) - 2) &amp; ""*"") &gt; 0, 1, 0)"),0.0)</f>
        <v>0</v>
      </c>
      <c r="H146" s="43" t="s">
        <v>758</v>
      </c>
    </row>
    <row r="147" ht="15.75" customHeight="1">
      <c r="A147" s="15" t="str">
        <f>IFERROR(__xludf.DUMMYFUNCTION("""COMPUTED_VALUE"""),"[SHAP] Shahriar Parvej")</f>
        <v>[SHAP] Shahriar Parvej</v>
      </c>
      <c r="B147" s="15">
        <f t="shared" si="1"/>
        <v>0</v>
      </c>
      <c r="C147" s="15" t="str">
        <f>IFERROR(__xludf.DUMMYFUNCTION(" QUERY(IMPORTRANGE(""https://docs.google.com/spreadsheets/d/1xytwrrnzAdDwj8WFj5u6b5L5uYRsNheZVC4UcGqUzKQ/edit?gid=1891914664#gid=1891914664"", ""Faculty-wise All!A2:D""), ""SELECT Col4 WHERE Col1 = '"" &amp;A147 &amp;""'"")"),"#REF!")</f>
        <v>#REF!</v>
      </c>
      <c r="D147" s="15"/>
      <c r="E147" s="26" t="str">
        <f t="shared" si="2"/>
        <v>#REF!</v>
      </c>
      <c r="F147" s="32" t="str">
        <f t="shared" si="3"/>
        <v>#REF!</v>
      </c>
      <c r="G147" s="15">
        <f>IFERROR(__xludf.DUMMYFUNCTION("IF(COUNTIF(IMPORTRANGE(""https://docs.google.com/spreadsheets/d/1xytwrrnzAdDwj8WFj5u6b5L5uYRsNheZVC4UcGqUzKQ/edit"", ""'Full Time Load'!B:B""), ""*"" &amp; MID(A147, 2, FIND(""]"", A147) - 2) &amp; ""*"") &gt; 0, 1, 0)"),0.0)</f>
        <v>0</v>
      </c>
    </row>
    <row r="148" ht="15.75" customHeight="1">
      <c r="A148" s="15" t="str">
        <f>IFERROR(__xludf.DUMMYFUNCTION("""COMPUTED_VALUE"""),"[SHK] Shushmita Hossain Khan")</f>
        <v>[SHK] Shushmita Hossain Khan</v>
      </c>
      <c r="B148" s="15">
        <f t="shared" si="1"/>
        <v>0</v>
      </c>
      <c r="C148" s="15" t="str">
        <f>IFERROR(__xludf.DUMMYFUNCTION(" QUERY(IMPORTRANGE(""https://docs.google.com/spreadsheets/d/1xytwrrnzAdDwj8WFj5u6b5L5uYRsNheZVC4UcGqUzKQ/edit?gid=1891914664#gid=1891914664"", ""Faculty-wise All!A2:D""), ""SELECT Col4 WHERE Col1 = '"" &amp;A148 &amp;""'"")"),"#REF!")</f>
        <v>#REF!</v>
      </c>
      <c r="D148" s="15"/>
      <c r="E148" s="26" t="str">
        <f t="shared" si="2"/>
        <v>#REF!</v>
      </c>
      <c r="F148" s="32" t="str">
        <f t="shared" si="3"/>
        <v>#REF!</v>
      </c>
      <c r="G148" s="15">
        <v>0.0</v>
      </c>
    </row>
    <row r="149" ht="15.75" customHeight="1">
      <c r="A149" s="15" t="str">
        <f>IFERROR(__xludf.DUMMYFUNCTION("""COMPUTED_VALUE"""),"[SHKU] Shujoy Kundu")</f>
        <v>[SHKU] Shujoy Kundu</v>
      </c>
      <c r="B149" s="15">
        <f t="shared" si="1"/>
        <v>0</v>
      </c>
      <c r="C149" s="15" t="str">
        <f>IFERROR(__xludf.DUMMYFUNCTION(" QUERY(IMPORTRANGE(""https://docs.google.com/spreadsheets/d/1xytwrrnzAdDwj8WFj5u6b5L5uYRsNheZVC4UcGqUzKQ/edit?gid=1891914664#gid=1891914664"", ""Faculty-wise All!A2:D""), ""SELECT Col4 WHERE Col1 = '"" &amp;A149 &amp;""'"")"),"#REF!")</f>
        <v>#REF!</v>
      </c>
      <c r="D149" s="15">
        <v>3.0</v>
      </c>
      <c r="E149" s="26" t="str">
        <f t="shared" si="2"/>
        <v>#REF!</v>
      </c>
      <c r="F149" s="32" t="str">
        <f t="shared" si="3"/>
        <v>#REF!</v>
      </c>
      <c r="G149" s="15">
        <f>IFERROR(__xludf.DUMMYFUNCTION("IF(COUNTIF(IMPORTRANGE(""https://docs.google.com/spreadsheets/d/1xytwrrnzAdDwj8WFj5u6b5L5uYRsNheZVC4UcGqUzKQ/edit"", ""'Full Time Load'!B:B""), ""*"" &amp; MID(A149, 2, FIND(""]"", A149) - 2) &amp; ""*"") &gt; 0, 1, 0)"),0.0)</f>
        <v>0</v>
      </c>
    </row>
    <row r="150" ht="15.75" customHeight="1">
      <c r="A150" s="15" t="str">
        <f>IFERROR(__xludf.DUMMYFUNCTION("""COMPUTED_VALUE"""),"[SHM] Md. Shamim")</f>
        <v>[SHM] Md. Shamim</v>
      </c>
      <c r="B150" s="15">
        <f t="shared" si="1"/>
        <v>0</v>
      </c>
      <c r="C150" s="15" t="str">
        <f>IFERROR(__xludf.DUMMYFUNCTION(" QUERY(IMPORTRANGE(""https://docs.google.com/spreadsheets/d/1xytwrrnzAdDwj8WFj5u6b5L5uYRsNheZVC4UcGqUzKQ/edit?gid=1891914664#gid=1891914664"", ""Faculty-wise All!A2:D""), ""SELECT Col4 WHERE Col1 = '"" &amp;A150 &amp;""'"")"),"#REF!")</f>
        <v>#REF!</v>
      </c>
      <c r="D150" s="15"/>
      <c r="E150" s="26" t="str">
        <f t="shared" si="2"/>
        <v>#REF!</v>
      </c>
      <c r="F150" s="32" t="str">
        <f t="shared" si="3"/>
        <v>#REF!</v>
      </c>
      <c r="G150" s="15">
        <f>IFERROR(__xludf.DUMMYFUNCTION("IF(COUNTIF(IMPORTRANGE(""https://docs.google.com/spreadsheets/d/1xytwrrnzAdDwj8WFj5u6b5L5uYRsNheZVC4UcGqUzKQ/edit"", ""'Full Time Load'!B:B""), ""*"" &amp; MID(A150, 2, FIND(""]"", A150) - 2) &amp; ""*"") &gt; 0, 1, 0)"),0.0)</f>
        <v>0</v>
      </c>
    </row>
    <row r="151" ht="15.75" customHeight="1">
      <c r="A151" s="63" t="str">
        <f>IFERROR(__xludf.DUMMYFUNCTION("""COMPUTED_VALUE"""),"[SHR] Md. Sarowar Hossain Rana")</f>
        <v>[SHR] Md. Sarowar Hossain Rana</v>
      </c>
      <c r="B151" s="15">
        <f t="shared" si="1"/>
        <v>0</v>
      </c>
      <c r="C151" s="15" t="str">
        <f>IFERROR(__xludf.DUMMYFUNCTION(" QUERY(IMPORTRANGE(""https://docs.google.com/spreadsheets/d/1xytwrrnzAdDwj8WFj5u6b5L5uYRsNheZVC4UcGqUzKQ/edit?gid=1891914664#gid=1891914664"", ""Faculty-wise All!A2:D""), ""SELECT Col4 WHERE Col1 = '"" &amp;A151 &amp;""'"")"),"#REF!")</f>
        <v>#REF!</v>
      </c>
      <c r="D151" s="15"/>
      <c r="E151" s="26" t="str">
        <f t="shared" si="2"/>
        <v>#REF!</v>
      </c>
      <c r="F151" s="32" t="str">
        <f t="shared" si="3"/>
        <v>#REF!</v>
      </c>
      <c r="G151" s="15">
        <f>IFERROR(__xludf.DUMMYFUNCTION("IF(COUNTIF(IMPORTRANGE(""https://docs.google.com/spreadsheets/d/1xytwrrnzAdDwj8WFj5u6b5L5uYRsNheZVC4UcGqUzKQ/edit"", ""'Full Time Load'!B:B""), ""*"" &amp; MID(A151, 2, FIND(""]"", A151) - 2) &amp; ""*"") &gt; 0, 1, 0)"),0.0)</f>
        <v>0</v>
      </c>
    </row>
    <row r="152" ht="15.75" customHeight="1">
      <c r="A152" s="15" t="str">
        <f>IFERROR(__xludf.DUMMYFUNCTION("""COMPUTED_VALUE"""),"[SHSH] Shoeb Mohammad Shahriar")</f>
        <v>[SHSH] Shoeb Mohammad Shahriar</v>
      </c>
      <c r="B152" s="15">
        <f t="shared" si="1"/>
        <v>0</v>
      </c>
      <c r="C152" s="15" t="str">
        <f>IFERROR(__xludf.DUMMYFUNCTION(" QUERY(IMPORTRANGE(""https://docs.google.com/spreadsheets/d/1xytwrrnzAdDwj8WFj5u6b5L5uYRsNheZVC4UcGqUzKQ/edit?gid=1891914664#gid=1891914664"", ""Faculty-wise All!A2:D""), ""SELECT Col4 WHERE Col1 = '"" &amp;A152 &amp;""'"")"),"#REF!")</f>
        <v>#REF!</v>
      </c>
      <c r="D152" s="15"/>
      <c r="E152" s="26" t="str">
        <f t="shared" si="2"/>
        <v>#REF!</v>
      </c>
      <c r="F152" s="32" t="str">
        <f t="shared" si="3"/>
        <v>#REF!</v>
      </c>
      <c r="G152" s="15">
        <f>IFERROR(__xludf.DUMMYFUNCTION("IF(COUNTIF(IMPORTRANGE(""https://docs.google.com/spreadsheets/d/1xytwrrnzAdDwj8WFj5u6b5L5uYRsNheZVC4UcGqUzKQ/edit"", ""'Full Time Load'!B:B""), ""*"" &amp; MID(A152, 2, FIND(""]"", A152) - 2) &amp; ""*"") &gt; 0, 1, 0)"),0.0)</f>
        <v>0</v>
      </c>
    </row>
    <row r="153" ht="15.75" customHeight="1">
      <c r="A153" s="15" t="str">
        <f>IFERROR(__xludf.DUMMYFUNCTION("""COMPUTED_VALUE"""),"[SINA] Md. Ibne Sina")</f>
        <v>[SINA] Md. Ibne Sina</v>
      </c>
      <c r="B153" s="15">
        <f t="shared" si="1"/>
        <v>0</v>
      </c>
      <c r="C153" s="15" t="str">
        <f>IFERROR(__xludf.DUMMYFUNCTION(" QUERY(IMPORTRANGE(""https://docs.google.com/spreadsheets/d/1xytwrrnzAdDwj8WFj5u6b5L5uYRsNheZVC4UcGqUzKQ/edit?gid=1891914664#gid=1891914664"", ""Faculty-wise All!A2:D""), ""SELECT Col4 WHERE Col1 = '"" &amp;A153 &amp;""'"")"),"#REF!")</f>
        <v>#REF!</v>
      </c>
      <c r="D153" s="15"/>
      <c r="E153" s="26" t="str">
        <f t="shared" si="2"/>
        <v>#REF!</v>
      </c>
      <c r="F153" s="32" t="str">
        <f t="shared" si="3"/>
        <v>#REF!</v>
      </c>
      <c r="G153" s="15">
        <f>IFERROR(__xludf.DUMMYFUNCTION("IF(COUNTIF(IMPORTRANGE(""https://docs.google.com/spreadsheets/d/1xytwrrnzAdDwj8WFj5u6b5L5uYRsNheZVC4UcGqUzKQ/edit"", ""'Full Time Load'!B:B""), ""*"" &amp; MID(A153, 2, FIND(""]"", A153) - 2) &amp; ""*"") &gt; 0, 1, 0)"),0.0)</f>
        <v>0</v>
      </c>
    </row>
    <row r="154" ht="15.75" customHeight="1">
      <c r="A154" s="15" t="str">
        <f>IFERROR(__xludf.DUMMYFUNCTION("""COMPUTED_VALUE"""),"[SKA] Syeda Khadiza Akter")</f>
        <v>[SKA] Syeda Khadiza Akter</v>
      </c>
      <c r="B154" s="15">
        <f t="shared" si="1"/>
        <v>0</v>
      </c>
      <c r="C154" s="15" t="str">
        <f>IFERROR(__xludf.DUMMYFUNCTION(" QUERY(IMPORTRANGE(""https://docs.google.com/spreadsheets/d/1xytwrrnzAdDwj8WFj5u6b5L5uYRsNheZVC4UcGqUzKQ/edit?gid=1891914664#gid=1891914664"", ""Faculty-wise All!A2:D""), ""SELECT Col4 WHERE Col1 = '"" &amp;A154 &amp;""'"")"),"#REF!")</f>
        <v>#REF!</v>
      </c>
      <c r="D154" s="15"/>
      <c r="E154" s="26" t="str">
        <f t="shared" si="2"/>
        <v>#REF!</v>
      </c>
      <c r="F154" s="32" t="str">
        <f t="shared" si="3"/>
        <v>#REF!</v>
      </c>
      <c r="G154" s="15">
        <f>IFERROR(__xludf.DUMMYFUNCTION("IF(COUNTIF(IMPORTRANGE(""https://docs.google.com/spreadsheets/d/1xytwrrnzAdDwj8WFj5u6b5L5uYRsNheZVC4UcGqUzKQ/edit"", ""'Full Time Load'!B:B""), ""*"" &amp; MID(A154, 2, FIND(""]"", A154) - 2) &amp; ""*"") &gt; 0, 1, 0)"),0.0)</f>
        <v>0</v>
      </c>
    </row>
    <row r="155" ht="15.75" customHeight="1">
      <c r="A155" s="15" t="str">
        <f>IFERROR(__xludf.DUMMYFUNCTION("""COMPUTED_VALUE"""),"[SKAA] Dr. SK. Abdul Kader Arafin")</f>
        <v>[SKAA] Dr. SK. Abdul Kader Arafin</v>
      </c>
      <c r="B155" s="15">
        <f t="shared" si="1"/>
        <v>0</v>
      </c>
      <c r="C155" s="15" t="str">
        <f>IFERROR(__xludf.DUMMYFUNCTION(" QUERY(IMPORTRANGE(""https://docs.google.com/spreadsheets/d/1xytwrrnzAdDwj8WFj5u6b5L5uYRsNheZVC4UcGqUzKQ/edit?gid=1891914664#gid=1891914664"", ""Faculty-wise All!A2:D""), ""SELECT Col4 WHERE Col1 = '"" &amp;A155 &amp;""'"")"),"#REF!")</f>
        <v>#REF!</v>
      </c>
      <c r="D155" s="15"/>
      <c r="E155" s="26" t="str">
        <f t="shared" si="2"/>
        <v>#REF!</v>
      </c>
      <c r="F155" s="32" t="str">
        <f t="shared" si="3"/>
        <v>#REF!</v>
      </c>
      <c r="G155" s="15">
        <f>IFERROR(__xludf.DUMMYFUNCTION("IF(COUNTIF(IMPORTRANGE(""https://docs.google.com/spreadsheets/d/1xytwrrnzAdDwj8WFj5u6b5L5uYRsNheZVC4UcGqUzKQ/edit"", ""'Full Time Load'!B:B""), ""*"" &amp; MID(A155, 2, FIND(""]"", A155) - 2) &amp; ""*"") &gt; 0, 1, 0)"),0.0)</f>
        <v>0</v>
      </c>
    </row>
    <row r="156" ht="15.75" customHeight="1">
      <c r="A156" s="15" t="str">
        <f>IFERROR(__xludf.DUMMYFUNCTION("""COMPUTED_VALUE"""),"[SKDA] Snigdha Krishna Das")</f>
        <v>[SKDA] Snigdha Krishna Das</v>
      </c>
      <c r="B156" s="15">
        <f t="shared" si="1"/>
        <v>0</v>
      </c>
      <c r="C156" s="15" t="str">
        <f>IFERROR(__xludf.DUMMYFUNCTION(" QUERY(IMPORTRANGE(""https://docs.google.com/spreadsheets/d/1xytwrrnzAdDwj8WFj5u6b5L5uYRsNheZVC4UcGqUzKQ/edit?gid=1891914664#gid=1891914664"", ""Faculty-wise All!A2:D""), ""SELECT Col4 WHERE Col1 = '"" &amp;A156 &amp;""'"")"),"#REF!")</f>
        <v>#REF!</v>
      </c>
      <c r="D156" s="15"/>
      <c r="E156" s="26" t="str">
        <f t="shared" si="2"/>
        <v>#REF!</v>
      </c>
      <c r="F156" s="32" t="str">
        <f t="shared" si="3"/>
        <v>#REF!</v>
      </c>
      <c r="G156" s="15">
        <f>IFERROR(__xludf.DUMMYFUNCTION("IF(COUNTIF(IMPORTRANGE(""https://docs.google.com/spreadsheets/d/1xytwrrnzAdDwj8WFj5u6b5L5uYRsNheZVC4UcGqUzKQ/edit"", ""'Full Time Load'!B:B""), ""*"" &amp; MID(A156, 2, FIND(""]"", A156) - 2) &amp; ""*"") &gt; 0, 1, 0)"),0.0)</f>
        <v>0</v>
      </c>
    </row>
    <row r="157" ht="15.75" customHeight="1">
      <c r="A157" s="15" t="str">
        <f>IFERROR(__xludf.DUMMYFUNCTION("""COMPUTED_VALUE"""),"[SM] Shahriar Manzoor")</f>
        <v>[SM] Shahriar Manzoor</v>
      </c>
      <c r="B157" s="15">
        <f t="shared" si="1"/>
        <v>0</v>
      </c>
      <c r="C157" s="15" t="str">
        <f>IFERROR(__xludf.DUMMYFUNCTION(" QUERY(IMPORTRANGE(""https://docs.google.com/spreadsheets/d/1xytwrrnzAdDwj8WFj5u6b5L5uYRsNheZVC4UcGqUzKQ/edit?gid=1891914664#gid=1891914664"", ""Faculty-wise All!A2:D""), ""SELECT Col4 WHERE Col1 = '"" &amp;A157 &amp;""'"")"),"#REF!")</f>
        <v>#REF!</v>
      </c>
      <c r="D157" s="15">
        <v>5.0</v>
      </c>
      <c r="E157" s="26" t="str">
        <f t="shared" si="2"/>
        <v>#REF!</v>
      </c>
      <c r="F157" s="32" t="str">
        <f t="shared" si="3"/>
        <v>#REF!</v>
      </c>
      <c r="G157" s="15">
        <f>IFERROR(__xludf.DUMMYFUNCTION("IF(COUNTIF(IMPORTRANGE(""https://docs.google.com/spreadsheets/d/1xytwrrnzAdDwj8WFj5u6b5L5uYRsNheZVC4UcGqUzKQ/edit"", ""'Full Time Load'!B:B""), ""*"" &amp; MID(A157, 2, FIND(""]"", A157) - 2) &amp; ""*"") &gt; 0, 1, 0)"),0.0)</f>
        <v>0</v>
      </c>
      <c r="H157" s="43" t="s">
        <v>759</v>
      </c>
    </row>
    <row r="158" ht="15.75" customHeight="1">
      <c r="A158" s="15" t="str">
        <f>IFERROR(__xludf.DUMMYFUNCTION("""COMPUTED_VALUE"""),"[SMA] Sakib Mahmud")</f>
        <v>[SMA] Sakib Mahmud</v>
      </c>
      <c r="B158" s="15">
        <f t="shared" si="1"/>
        <v>0</v>
      </c>
      <c r="C158" s="15" t="str">
        <f>IFERROR(__xludf.DUMMYFUNCTION(" QUERY(IMPORTRANGE(""https://docs.google.com/spreadsheets/d/1xytwrrnzAdDwj8WFj5u6b5L5uYRsNheZVC4UcGqUzKQ/edit?gid=1891914664#gid=1891914664"", ""Faculty-wise All!A2:D""), ""SELECT Col4 WHERE Col1 = '"" &amp;A158 &amp;""'"")"),"#REF!")</f>
        <v>#REF!</v>
      </c>
      <c r="D158" s="15">
        <v>6.0</v>
      </c>
      <c r="E158" s="26" t="str">
        <f t="shared" si="2"/>
        <v>#REF!</v>
      </c>
      <c r="F158" s="32" t="str">
        <f t="shared" si="3"/>
        <v>#REF!</v>
      </c>
      <c r="G158" s="15">
        <f>IFERROR(__xludf.DUMMYFUNCTION("IF(COUNTIF(IMPORTRANGE(""https://docs.google.com/spreadsheets/d/1xytwrrnzAdDwj8WFj5u6b5L5uYRsNheZVC4UcGqUzKQ/edit"", ""'Full Time Load'!B:B""), ""*"" &amp; MID(A158, 2, FIND(""]"", A158) - 2) &amp; ""*"") &gt; 0, 1, 0)"),0.0)</f>
        <v>0</v>
      </c>
      <c r="H158" s="43" t="s">
        <v>760</v>
      </c>
    </row>
    <row r="159" ht="15.75" customHeight="1">
      <c r="A159" s="15" t="str">
        <f>IFERROR(__xludf.DUMMYFUNCTION("""COMPUTED_VALUE"""),"[SMTO] Shuddha M. Tousif")</f>
        <v>[SMTO] Shuddha M. Tousif</v>
      </c>
      <c r="B159" s="15">
        <f t="shared" si="1"/>
        <v>0</v>
      </c>
      <c r="C159" s="15" t="str">
        <f>IFERROR(__xludf.DUMMYFUNCTION(" QUERY(IMPORTRANGE(""https://docs.google.com/spreadsheets/d/1xytwrrnzAdDwj8WFj5u6b5L5uYRsNheZVC4UcGqUzKQ/edit?gid=1891914664#gid=1891914664"", ""Faculty-wise All!A2:D""), ""SELECT Col4 WHERE Col1 = '"" &amp;A159 &amp;""'"")"),"#REF!")</f>
        <v>#REF!</v>
      </c>
      <c r="D159" s="15"/>
      <c r="E159" s="26" t="str">
        <f t="shared" si="2"/>
        <v>#REF!</v>
      </c>
      <c r="F159" s="32" t="str">
        <f t="shared" si="3"/>
        <v>#REF!</v>
      </c>
      <c r="G159" s="15">
        <f>IFERROR(__xludf.DUMMYFUNCTION("IF(COUNTIF(IMPORTRANGE(""https://docs.google.com/spreadsheets/d/1xytwrrnzAdDwj8WFj5u6b5L5uYRsNheZVC4UcGqUzKQ/edit"", ""'Full Time Load'!B:B""), ""*"" &amp; MID(A159, 2, FIND(""]"", A159) - 2) &amp; ""*"") &gt; 0, 1, 0)"),0.0)</f>
        <v>0</v>
      </c>
    </row>
    <row r="160" ht="15.75" customHeight="1">
      <c r="A160" s="15" t="str">
        <f>IFERROR(__xludf.DUMMYFUNCTION("""COMPUTED_VALUE"""),"[SOY] Somonindro Roy")</f>
        <v>[SOY] Somonindro Roy</v>
      </c>
      <c r="B160" s="15">
        <f t="shared" si="1"/>
        <v>0</v>
      </c>
      <c r="C160" s="15" t="str">
        <f>IFERROR(__xludf.DUMMYFUNCTION(" QUERY(IMPORTRANGE(""https://docs.google.com/spreadsheets/d/1xytwrrnzAdDwj8WFj5u6b5L5uYRsNheZVC4UcGqUzKQ/edit?gid=1891914664#gid=1891914664"", ""Faculty-wise All!A2:D""), ""SELECT Col4 WHERE Col1 = '"" &amp;A160 &amp;""'"")"),"#REF!")</f>
        <v>#REF!</v>
      </c>
      <c r="D160" s="15"/>
      <c r="E160" s="26" t="str">
        <f t="shared" si="2"/>
        <v>#REF!</v>
      </c>
      <c r="F160" s="32" t="str">
        <f t="shared" si="3"/>
        <v>#REF!</v>
      </c>
      <c r="G160" s="15">
        <f>IFERROR(__xludf.DUMMYFUNCTION("IF(COUNTIF(IMPORTRANGE(""https://docs.google.com/spreadsheets/d/1xytwrrnzAdDwj8WFj5u6b5L5uYRsNheZVC4UcGqUzKQ/edit"", ""'Full Time Load'!B:B""), ""*"" &amp; MID(A160, 2, FIND(""]"", A160) - 2) &amp; ""*"") &gt; 0, 1, 0)"),0.0)</f>
        <v>0</v>
      </c>
    </row>
    <row r="161" ht="15.75" customHeight="1">
      <c r="A161" s="15" t="str">
        <f>IFERROR(__xludf.DUMMYFUNCTION("""COMPUTED_VALUE"""),"[SRAB] Sheikh Fazle Rabbi")</f>
        <v>[SRAB] Sheikh Fazle Rabbi</v>
      </c>
      <c r="B161" s="15">
        <f t="shared" si="1"/>
        <v>0</v>
      </c>
      <c r="C161" s="15" t="str">
        <f>IFERROR(__xludf.DUMMYFUNCTION(" QUERY(IMPORTRANGE(""https://docs.google.com/spreadsheets/d/1xytwrrnzAdDwj8WFj5u6b5L5uYRsNheZVC4UcGqUzKQ/edit?gid=1891914664#gid=1891914664"", ""Faculty-wise All!A2:D""), ""SELECT Col4 WHERE Col1 = '"" &amp;A161 &amp;""'"")"),"#REF!")</f>
        <v>#REF!</v>
      </c>
      <c r="D161" s="15"/>
      <c r="E161" s="26" t="str">
        <f t="shared" si="2"/>
        <v>#REF!</v>
      </c>
      <c r="F161" s="32" t="str">
        <f t="shared" si="3"/>
        <v>#REF!</v>
      </c>
      <c r="G161" s="15">
        <f>IFERROR(__xludf.DUMMYFUNCTION("IF(COUNTIF(IMPORTRANGE(""https://docs.google.com/spreadsheets/d/1xytwrrnzAdDwj8WFj5u6b5L5uYRsNheZVC4UcGqUzKQ/edit"", ""'Full Time Load'!B:B""), ""*"" &amp; MID(A161, 2, FIND(""]"", A161) - 2) &amp; ""*"") &gt; 0, 1, 0)"),0.0)</f>
        <v>0</v>
      </c>
    </row>
    <row r="162" ht="15.75" customHeight="1">
      <c r="A162" s="15" t="str">
        <f>IFERROR(__xludf.DUMMYFUNCTION("""COMPUTED_VALUE"""),"[SS] Shahad Saroar")</f>
        <v>[SS] Shahad Saroar</v>
      </c>
      <c r="B162" s="15">
        <f t="shared" si="1"/>
        <v>0</v>
      </c>
      <c r="C162" s="15" t="str">
        <f>IFERROR(__xludf.DUMMYFUNCTION(" QUERY(IMPORTRANGE(""https://docs.google.com/spreadsheets/d/1xytwrrnzAdDwj8WFj5u6b5L5uYRsNheZVC4UcGqUzKQ/edit?gid=1891914664#gid=1891914664"", ""Faculty-wise All!A2:D""), ""SELECT Col4 WHERE Col1 = '"" &amp;A162 &amp;""'"")"),"#REF!")</f>
        <v>#REF!</v>
      </c>
      <c r="D162" s="15"/>
      <c r="E162" s="26" t="str">
        <f t="shared" si="2"/>
        <v>#REF!</v>
      </c>
      <c r="F162" s="32" t="str">
        <f t="shared" si="3"/>
        <v>#REF!</v>
      </c>
      <c r="G162" s="15">
        <v>0.0</v>
      </c>
    </row>
    <row r="163" ht="15.75" customHeight="1">
      <c r="A163" s="15" t="str">
        <f>IFERROR(__xludf.DUMMYFUNCTION("""COMPUTED_VALUE"""),"[SUBA] Subah Noshin")</f>
        <v>[SUBA] Subah Noshin</v>
      </c>
      <c r="B163" s="15">
        <f t="shared" si="1"/>
        <v>0</v>
      </c>
      <c r="C163" s="15" t="str">
        <f>IFERROR(__xludf.DUMMYFUNCTION(" QUERY(IMPORTRANGE(""https://docs.google.com/spreadsheets/d/1xytwrrnzAdDwj8WFj5u6b5L5uYRsNheZVC4UcGqUzKQ/edit?gid=1891914664#gid=1891914664"", ""Faculty-wise All!A2:D""), ""SELECT Col4 WHERE Col1 = '"" &amp;A163 &amp;""'"")"),"#REF!")</f>
        <v>#REF!</v>
      </c>
      <c r="D163" s="15"/>
      <c r="E163" s="26" t="str">
        <f t="shared" si="2"/>
        <v>#REF!</v>
      </c>
      <c r="F163" s="32" t="str">
        <f t="shared" si="3"/>
        <v>#REF!</v>
      </c>
      <c r="G163" s="15">
        <f>IFERROR(__xludf.DUMMYFUNCTION("IF(COUNTIF(IMPORTRANGE(""https://docs.google.com/spreadsheets/d/1xytwrrnzAdDwj8WFj5u6b5L5uYRsNheZVC4UcGqUzKQ/edit"", ""'Full Time Load'!B:B""), ""*"" &amp; MID(A163, 2, FIND(""]"", A163) - 2) &amp; ""*"") &gt; 0, 1, 0)"),0.0)</f>
        <v>0</v>
      </c>
    </row>
    <row r="164" ht="15.75" customHeight="1">
      <c r="A164" s="15" t="str">
        <f>IFERROR(__xludf.DUMMYFUNCTION("""COMPUTED_VALUE"""),"[SUM] Sumaiya Akter Sumy")</f>
        <v>[SUM] Sumaiya Akter Sumy</v>
      </c>
      <c r="B164" s="15">
        <f t="shared" si="1"/>
        <v>0</v>
      </c>
      <c r="C164" s="15" t="str">
        <f>IFERROR(__xludf.DUMMYFUNCTION(" QUERY(IMPORTRANGE(""https://docs.google.com/spreadsheets/d/1xytwrrnzAdDwj8WFj5u6b5L5uYRsNheZVC4UcGqUzKQ/edit?gid=1891914664#gid=1891914664"", ""Faculty-wise All!A2:D""), ""SELECT Col4 WHERE Col1 = '"" &amp;A164 &amp;""'"")"),"#REF!")</f>
        <v>#REF!</v>
      </c>
      <c r="D164" s="15"/>
      <c r="E164" s="26" t="str">
        <f t="shared" si="2"/>
        <v>#REF!</v>
      </c>
      <c r="F164" s="32" t="str">
        <f t="shared" si="3"/>
        <v>#REF!</v>
      </c>
      <c r="G164" s="15">
        <f>IFERROR(__xludf.DUMMYFUNCTION("IF(COUNTIF(IMPORTRANGE(""https://docs.google.com/spreadsheets/d/1xytwrrnzAdDwj8WFj5u6b5L5uYRsNheZVC4UcGqUzKQ/edit"", ""'Full Time Load'!B:B""), ""*"" &amp; MID(A164, 2, FIND(""]"", A164) - 2) &amp; ""*"") &gt; 0, 1, 0)"),0.0)</f>
        <v>0</v>
      </c>
    </row>
    <row r="165" ht="15.75" customHeight="1">
      <c r="A165" s="15" t="str">
        <f>IFERROR(__xludf.DUMMYFUNCTION("""COMPUTED_VALUE"""),"[SUNI] Md. Sunzidul Islam")</f>
        <v>[SUNI] Md. Sunzidul Islam</v>
      </c>
      <c r="B165" s="15">
        <f t="shared" si="1"/>
        <v>0</v>
      </c>
      <c r="C165" s="15" t="str">
        <f>IFERROR(__xludf.DUMMYFUNCTION(" QUERY(IMPORTRANGE(""https://docs.google.com/spreadsheets/d/1xytwrrnzAdDwj8WFj5u6b5L5uYRsNheZVC4UcGqUzKQ/edit?gid=1891914664#gid=1891914664"", ""Faculty-wise All!A2:D""), ""SELECT Col4 WHERE Col1 = '"" &amp;A165 &amp;""'"")"),"#REF!")</f>
        <v>#REF!</v>
      </c>
      <c r="D165" s="15"/>
      <c r="E165" s="26" t="str">
        <f t="shared" si="2"/>
        <v>#REF!</v>
      </c>
      <c r="F165" s="32" t="str">
        <f t="shared" si="3"/>
        <v>#REF!</v>
      </c>
      <c r="G165" s="15">
        <f>IFERROR(__xludf.DUMMYFUNCTION("IF(COUNTIF(IMPORTRANGE(""https://docs.google.com/spreadsheets/d/1xytwrrnzAdDwj8WFj5u6b5L5uYRsNheZVC4UcGqUzKQ/edit"", ""'Full Time Load'!B:B""), ""*"" &amp; MID(A165, 2, FIND(""]"", A165) - 2) &amp; ""*"") &gt; 0, 1, 0)"),0.0)</f>
        <v>0</v>
      </c>
    </row>
    <row r="166" ht="15.75" customHeight="1">
      <c r="A166" s="15" t="str">
        <f>IFERROR(__xludf.DUMMYFUNCTION("""COMPUTED_VALUE"""),"[SW] Mohammad Shamim Waheed")</f>
        <v>[SW] Mohammad Shamim Waheed</v>
      </c>
      <c r="B166" s="15">
        <f t="shared" si="1"/>
        <v>0</v>
      </c>
      <c r="C166" s="15" t="str">
        <f>IFERROR(__xludf.DUMMYFUNCTION(" QUERY(IMPORTRANGE(""https://docs.google.com/spreadsheets/d/1xytwrrnzAdDwj8WFj5u6b5L5uYRsNheZVC4UcGqUzKQ/edit?gid=1891914664#gid=1891914664"", ""Faculty-wise All!A2:D""), ""SELECT Col4 WHERE Col1 = '"" &amp;A166 &amp;""'"")"),"#REF!")</f>
        <v>#REF!</v>
      </c>
      <c r="D166" s="15"/>
      <c r="E166" s="26" t="str">
        <f t="shared" si="2"/>
        <v>#REF!</v>
      </c>
      <c r="F166" s="32" t="str">
        <f t="shared" si="3"/>
        <v>#REF!</v>
      </c>
      <c r="G166" s="15">
        <f>IFERROR(__xludf.DUMMYFUNCTION("IF(COUNTIF(IMPORTRANGE(""https://docs.google.com/spreadsheets/d/1xytwrrnzAdDwj8WFj5u6b5L5uYRsNheZVC4UcGqUzKQ/edit"", ""'Full Time Load'!B:B""), ""*"" &amp; MID(A166, 2, FIND(""]"", A166) - 2) &amp; ""*"") &gt; 0, 1, 0)"),0.0)</f>
        <v>0</v>
      </c>
    </row>
    <row r="167" ht="15.75" customHeight="1">
      <c r="A167" s="15" t="str">
        <f>IFERROR(__xludf.DUMMYFUNCTION("""COMPUTED_VALUE"""),"[TAH] Tanjila Hossen")</f>
        <v>[TAH] Tanjila Hossen</v>
      </c>
      <c r="B167" s="15">
        <f t="shared" si="1"/>
        <v>0</v>
      </c>
      <c r="C167" s="15" t="str">
        <f>IFERROR(__xludf.DUMMYFUNCTION(" QUERY(IMPORTRANGE(""https://docs.google.com/spreadsheets/d/1xytwrrnzAdDwj8WFj5u6b5L5uYRsNheZVC4UcGqUzKQ/edit?gid=1891914664#gid=1891914664"", ""Faculty-wise All!A2:D""), ""SELECT Col4 WHERE Col1 = '"" &amp;A167 &amp;""'"")"),"#REF!")</f>
        <v>#REF!</v>
      </c>
      <c r="D167" s="15"/>
      <c r="E167" s="26" t="str">
        <f t="shared" si="2"/>
        <v>#REF!</v>
      </c>
      <c r="F167" s="32" t="str">
        <f t="shared" si="3"/>
        <v>#REF!</v>
      </c>
      <c r="G167" s="15">
        <f>IFERROR(__xludf.DUMMYFUNCTION("IF(COUNTIF(IMPORTRANGE(""https://docs.google.com/spreadsheets/d/1xytwrrnzAdDwj8WFj5u6b5L5uYRsNheZVC4UcGqUzKQ/edit"", ""'Full Time Load'!B:B""), ""*"" &amp; MID(A167, 2, FIND(""]"", A167) - 2) &amp; ""*"") &gt; 0, 1, 0)"),0.0)</f>
        <v>0</v>
      </c>
    </row>
    <row r="168" ht="15.75" customHeight="1">
      <c r="A168" s="15" t="str">
        <f>IFERROR(__xludf.DUMMYFUNCTION("""COMPUTED_VALUE"""),"[TAIS] Tasmiya Islam")</f>
        <v>[TAIS] Tasmiya Islam</v>
      </c>
      <c r="B168" s="15">
        <f t="shared" si="1"/>
        <v>0</v>
      </c>
      <c r="C168" s="15" t="str">
        <f>IFERROR(__xludf.DUMMYFUNCTION(" QUERY(IMPORTRANGE(""https://docs.google.com/spreadsheets/d/1xytwrrnzAdDwj8WFj5u6b5L5uYRsNheZVC4UcGqUzKQ/edit?gid=1891914664#gid=1891914664"", ""Faculty-wise All!A2:D""), ""SELECT Col4 WHERE Col1 = '"" &amp;A168 &amp;""'"")"),"#REF!")</f>
        <v>#REF!</v>
      </c>
      <c r="D168" s="15"/>
      <c r="E168" s="26" t="str">
        <f t="shared" si="2"/>
        <v>#REF!</v>
      </c>
      <c r="F168" s="32" t="str">
        <f t="shared" si="3"/>
        <v>#REF!</v>
      </c>
      <c r="G168" s="15">
        <f>IFERROR(__xludf.DUMMYFUNCTION("IF(COUNTIF(IMPORTRANGE(""https://docs.google.com/spreadsheets/d/1xytwrrnzAdDwj8WFj5u6b5L5uYRsNheZVC4UcGqUzKQ/edit"", ""'Full Time Load'!B:B""), ""*"" &amp; MID(A168, 2, FIND(""]"", A168) - 2) &amp; ""*"") &gt; 0, 1, 0)"),0.0)</f>
        <v>0</v>
      </c>
    </row>
    <row r="169" ht="15.75" customHeight="1">
      <c r="A169" s="15" t="str">
        <f>IFERROR(__xludf.DUMMYFUNCTION("""COMPUTED_VALUE"""),"[TAJO] Tanjina Oriana")</f>
        <v>[TAJO] Tanjina Oriana</v>
      </c>
      <c r="B169" s="15">
        <f t="shared" si="1"/>
        <v>0</v>
      </c>
      <c r="C169" s="15" t="str">
        <f>IFERROR(__xludf.DUMMYFUNCTION(" QUERY(IMPORTRANGE(""https://docs.google.com/spreadsheets/d/1xytwrrnzAdDwj8WFj5u6b5L5uYRsNheZVC4UcGqUzKQ/edit?gid=1891914664#gid=1891914664"", ""Faculty-wise All!A2:D""), ""SELECT Col4 WHERE Col1 = '"" &amp;A169 &amp;""'"")"),"#REF!")</f>
        <v>#REF!</v>
      </c>
      <c r="D169" s="15"/>
      <c r="E169" s="26" t="str">
        <f t="shared" si="2"/>
        <v>#REF!</v>
      </c>
      <c r="F169" s="32" t="str">
        <f t="shared" si="3"/>
        <v>#REF!</v>
      </c>
      <c r="G169" s="15">
        <f>IFERROR(__xludf.DUMMYFUNCTION("IF(COUNTIF(IMPORTRANGE(""https://docs.google.com/spreadsheets/d/1xytwrrnzAdDwj8WFj5u6b5L5uYRsNheZVC4UcGqUzKQ/edit"", ""'Full Time Load'!B:B""), ""*"" &amp; MID(A169, 2, FIND(""]"", A169) - 2) &amp; ""*"") &gt; 0, 1, 0)"),0.0)</f>
        <v>0</v>
      </c>
    </row>
    <row r="170" ht="15.75" customHeight="1">
      <c r="A170" s="15" t="str">
        <f>IFERROR(__xludf.DUMMYFUNCTION("""COMPUTED_VALUE"""),"[TAJU] Md. Tanbeer Jubaer")</f>
        <v>[TAJU] Md. Tanbeer Jubaer</v>
      </c>
      <c r="B170" s="15">
        <f t="shared" si="1"/>
        <v>0</v>
      </c>
      <c r="C170" s="15" t="str">
        <f>IFERROR(__xludf.DUMMYFUNCTION(" QUERY(IMPORTRANGE(""https://docs.google.com/spreadsheets/d/1xytwrrnzAdDwj8WFj5u6b5L5uYRsNheZVC4UcGqUzKQ/edit?gid=1891914664#gid=1891914664"", ""Faculty-wise All!A2:D""), ""SELECT Col4 WHERE Col1 = '"" &amp;A170 &amp;""'"")"),"#REF!")</f>
        <v>#REF!</v>
      </c>
      <c r="D170" s="15"/>
      <c r="E170" s="26" t="str">
        <f t="shared" si="2"/>
        <v>#REF!</v>
      </c>
      <c r="F170" s="32" t="str">
        <f t="shared" si="3"/>
        <v>#REF!</v>
      </c>
      <c r="G170" s="15">
        <f>IFERROR(__xludf.DUMMYFUNCTION("IF(COUNTIF(IMPORTRANGE(""https://docs.google.com/spreadsheets/d/1xytwrrnzAdDwj8WFj5u6b5L5uYRsNheZVC4UcGqUzKQ/edit"", ""'Full Time Load'!B:B""), ""*"" &amp; MID(A170, 2, FIND(""]"", A170) - 2) &amp; ""*"") &gt; 0, 1, 0)"),0.0)</f>
        <v>0</v>
      </c>
    </row>
    <row r="171" ht="15.75" customHeight="1">
      <c r="A171" s="15" t="str">
        <f>IFERROR(__xludf.DUMMYFUNCTION("""COMPUTED_VALUE"""),"[TANA] Tanvir Ahmed")</f>
        <v>[TANA] Tanvir Ahmed</v>
      </c>
      <c r="B171" s="15">
        <f t="shared" si="1"/>
        <v>0</v>
      </c>
      <c r="C171" s="15" t="str">
        <f>IFERROR(__xludf.DUMMYFUNCTION(" QUERY(IMPORTRANGE(""https://docs.google.com/spreadsheets/d/1xytwrrnzAdDwj8WFj5u6b5L5uYRsNheZVC4UcGqUzKQ/edit?gid=1891914664#gid=1891914664"", ""Faculty-wise All!A2:D""), ""SELECT Col4 WHERE Col1 = '"" &amp;A171 &amp;""'"")"),"#REF!")</f>
        <v>#REF!</v>
      </c>
      <c r="D171" s="15"/>
      <c r="E171" s="26" t="str">
        <f t="shared" si="2"/>
        <v>#REF!</v>
      </c>
      <c r="F171" s="32" t="str">
        <f t="shared" si="3"/>
        <v>#REF!</v>
      </c>
      <c r="G171" s="15">
        <f>IFERROR(__xludf.DUMMYFUNCTION("IF(COUNTIF(IMPORTRANGE(""https://docs.google.com/spreadsheets/d/1xytwrrnzAdDwj8WFj5u6b5L5uYRsNheZVC4UcGqUzKQ/edit"", ""'Full Time Load'!B:B""), ""*"" &amp; MID(A171, 2, FIND(""]"", A171) - 2) &amp; ""*"") &gt; 0, 1, 0)"),0.0)</f>
        <v>0</v>
      </c>
    </row>
    <row r="172" ht="15.75" customHeight="1">
      <c r="A172" s="15" t="str">
        <f>IFERROR(__xludf.DUMMYFUNCTION("""COMPUTED_VALUE"""),"[TAT] Dr. Taslim Taher")</f>
        <v>[TAT] Dr. Taslim Taher</v>
      </c>
      <c r="B172" s="15">
        <f t="shared" si="1"/>
        <v>0</v>
      </c>
      <c r="C172" s="15" t="str">
        <f>IFERROR(__xludf.DUMMYFUNCTION(" QUERY(IMPORTRANGE(""https://docs.google.com/spreadsheets/d/1xytwrrnzAdDwj8WFj5u6b5L5uYRsNheZVC4UcGqUzKQ/edit?gid=1891914664#gid=1891914664"", ""Faculty-wise All!A2:D""), ""SELECT Col4 WHERE Col1 = '"" &amp;A172 &amp;""'"")"),"#REF!")</f>
        <v>#REF!</v>
      </c>
      <c r="D172" s="15"/>
      <c r="E172" s="26" t="str">
        <f t="shared" si="2"/>
        <v>#REF!</v>
      </c>
      <c r="F172" s="32" t="str">
        <f t="shared" si="3"/>
        <v>#REF!</v>
      </c>
      <c r="G172" s="15">
        <f>IFERROR(__xludf.DUMMYFUNCTION("IF(COUNTIF(IMPORTRANGE(""https://docs.google.com/spreadsheets/d/1xytwrrnzAdDwj8WFj5u6b5L5uYRsNheZVC4UcGqUzKQ/edit"", ""'Full Time Load'!B:B""), ""*"" &amp; MID(A172, 2, FIND(""]"", A172) - 2) &amp; ""*"") &gt; 0, 1, 0)"),0.0)</f>
        <v>0</v>
      </c>
    </row>
    <row r="173" ht="15.75" customHeight="1">
      <c r="A173" s="15" t="str">
        <f>IFERROR(__xludf.DUMMYFUNCTION("""COMPUTED_VALUE"""),"[TBK] Tasnim Binte Kabir")</f>
        <v>[TBK] Tasnim Binte Kabir</v>
      </c>
      <c r="B173" s="15">
        <f t="shared" si="1"/>
        <v>0</v>
      </c>
      <c r="C173" s="15" t="str">
        <f>IFERROR(__xludf.DUMMYFUNCTION(" QUERY(IMPORTRANGE(""https://docs.google.com/spreadsheets/d/1xytwrrnzAdDwj8WFj5u6b5L5uYRsNheZVC4UcGqUzKQ/edit?gid=1891914664#gid=1891914664"", ""Faculty-wise All!A2:D""), ""SELECT Col4 WHERE Col1 = '"" &amp;A173 &amp;""'"")"),"#REF!")</f>
        <v>#REF!</v>
      </c>
      <c r="D173" s="15"/>
      <c r="E173" s="26" t="str">
        <f t="shared" si="2"/>
        <v>#REF!</v>
      </c>
      <c r="F173" s="32" t="str">
        <f t="shared" si="3"/>
        <v>#REF!</v>
      </c>
      <c r="G173" s="15">
        <f>IFERROR(__xludf.DUMMYFUNCTION("IF(COUNTIF(IMPORTRANGE(""https://docs.google.com/spreadsheets/d/1xytwrrnzAdDwj8WFj5u6b5L5uYRsNheZVC4UcGqUzKQ/edit"", ""'Full Time Load'!B:B""), ""*"" &amp; MID(A173, 2, FIND(""]"", A173) - 2) &amp; ""*"") &gt; 0, 1, 0)"),0.0)</f>
        <v>0</v>
      </c>
    </row>
    <row r="174" ht="15.75" customHeight="1">
      <c r="A174" s="15" t="str">
        <f>IFERROR(__xludf.DUMMYFUNCTION("""COMPUTED_VALUE"""),"[TMD] Tashreef Muhammad")</f>
        <v>[TMD] Tashreef Muhammad</v>
      </c>
      <c r="B174" s="15">
        <f t="shared" si="1"/>
        <v>0</v>
      </c>
      <c r="C174" s="15" t="str">
        <f>IFERROR(__xludf.DUMMYFUNCTION(" QUERY(IMPORTRANGE(""https://docs.google.com/spreadsheets/d/1xytwrrnzAdDwj8WFj5u6b5L5uYRsNheZVC4UcGqUzKQ/edit?gid=1891914664#gid=1891914664"", ""Faculty-wise All!A2:D""), ""SELECT Col4 WHERE Col1 = '"" &amp;A174 &amp;""'"")"),"#REF!")</f>
        <v>#REF!</v>
      </c>
      <c r="D174" s="15">
        <v>2.0</v>
      </c>
      <c r="E174" s="26" t="str">
        <f t="shared" si="2"/>
        <v>#REF!</v>
      </c>
      <c r="F174" s="32" t="str">
        <f t="shared" si="3"/>
        <v>#REF!</v>
      </c>
      <c r="G174" s="15">
        <f>IFERROR(__xludf.DUMMYFUNCTION("IF(COUNTIF(IMPORTRANGE(""https://docs.google.com/spreadsheets/d/1xytwrrnzAdDwj8WFj5u6b5L5uYRsNheZVC4UcGqUzKQ/edit"", ""'Full Time Load'!B:B""), ""*"" &amp; MID(A174, 2, FIND(""]"", A174) - 2) &amp; ""*"") &gt; 0, 1, 0)"),0.0)</f>
        <v>0</v>
      </c>
      <c r="H174" s="43" t="s">
        <v>761</v>
      </c>
    </row>
    <row r="175" ht="15.75" customHeight="1">
      <c r="A175" s="64" t="str">
        <f>IFERROR(__xludf.DUMMYFUNCTION("""COMPUTED_VALUE"""),"[TMO] Tabassum Mahmud Ornab")</f>
        <v>[TMO] Tabassum Mahmud Ornab</v>
      </c>
      <c r="B175" s="15">
        <f t="shared" si="1"/>
        <v>0</v>
      </c>
      <c r="C175" s="64" t="str">
        <f>IFERROR(__xludf.DUMMYFUNCTION(" QUERY(IMPORTRANGE(""https://docs.google.com/spreadsheets/d/1xytwrrnzAdDwj8WFj5u6b5L5uYRsNheZVC4UcGqUzKQ/edit?gid=1891914664#gid=1891914664"", ""Faculty-wise All!A2:D""), ""SELECT Col4 WHERE Col1 = '"" &amp;A175 &amp;""'"")"),"#REF!")</f>
        <v>#REF!</v>
      </c>
      <c r="D175" s="64"/>
      <c r="E175" s="26" t="str">
        <f t="shared" si="2"/>
        <v>#REF!</v>
      </c>
      <c r="F175" s="65" t="str">
        <f t="shared" si="3"/>
        <v>#REF!</v>
      </c>
      <c r="G175" s="64">
        <f>IFERROR(__xludf.DUMMYFUNCTION("IF(COUNTIF(IMPORTRANGE(""https://docs.google.com/spreadsheets/d/1xytwrrnzAdDwj8WFj5u6b5L5uYRsNheZVC4UcGqUzKQ/edit"", ""'Full Time Load'!B:B""), ""*"" &amp; MID(A175, 2, FIND(""]"", A175) - 2) &amp; ""*"") &gt; 0, 1, 0)"),0.0)</f>
        <v>0</v>
      </c>
    </row>
    <row r="176" ht="15.75" customHeight="1">
      <c r="A176" s="66" t="str">
        <f>IFERROR(__xludf.DUMMYFUNCTION("""COMPUTED_VALUE"""),"[TNHR] Tanver Hossain Refat")</f>
        <v>[TNHR] Tanver Hossain Refat</v>
      </c>
      <c r="B176" s="64">
        <f t="shared" si="1"/>
        <v>0</v>
      </c>
      <c r="C176" s="67" t="str">
        <f>IFERROR(__xludf.DUMMYFUNCTION(" QUERY(IMPORTRANGE(""https://docs.google.com/spreadsheets/d/1xytwrrnzAdDwj8WFj5u6b5L5uYRsNheZVC4UcGqUzKQ/edit?gid=1891914664#gid=1891914664"", ""Faculty-wise All!A2:D""), ""SELECT Col4 WHERE Col1 = '"" &amp;A176 &amp;""'"")"),"#REF!")</f>
        <v>#REF!</v>
      </c>
      <c r="D176" s="67"/>
      <c r="E176" s="26" t="str">
        <f t="shared" si="2"/>
        <v>#REF!</v>
      </c>
      <c r="F176" s="68" t="str">
        <f t="shared" si="3"/>
        <v>#REF!</v>
      </c>
      <c r="G176" s="67">
        <f>IFERROR(__xludf.DUMMYFUNCTION("IF(COUNTIF(IMPORTRANGE(""https://docs.google.com/spreadsheets/d/1xytwrrnzAdDwj8WFj5u6b5L5uYRsNheZVC4UcGqUzKQ/edit"", ""'Full Time Load'!B:B""), ""*"" &amp; MID(A176, 2, FIND(""]"", A176) - 2) &amp; ""*"") &gt; 0, 1, 0)"),0.0)</f>
        <v>0</v>
      </c>
    </row>
    <row r="177" ht="15.75" customHeight="1">
      <c r="A177" s="69" t="str">
        <f>IFERROR(__xludf.DUMMYFUNCTION("""COMPUTED_VALUE"""),"[TSR] Dr. Tanu Arefin")</f>
        <v>[TSR] Dr. Tanu Arefin</v>
      </c>
      <c r="B177" s="70">
        <f t="shared" si="1"/>
        <v>0</v>
      </c>
      <c r="C177" s="71" t="str">
        <f>IFERROR(__xludf.DUMMYFUNCTION(" QUERY(IMPORTRANGE(""https://docs.google.com/spreadsheets/d/1xytwrrnzAdDwj8WFj5u6b5L5uYRsNheZVC4UcGqUzKQ/edit?gid=1891914664#gid=1891914664"", ""Faculty-wise All!A2:D""), ""SELECT Col4 WHERE Col1 = '"" &amp;A177 &amp;""'"")"),"#REF!")</f>
        <v>#REF!</v>
      </c>
      <c r="D177" s="72"/>
      <c r="E177" s="26" t="str">
        <f t="shared" si="2"/>
        <v>#REF!</v>
      </c>
      <c r="F177" s="73" t="str">
        <f t="shared" si="3"/>
        <v>#REF!</v>
      </c>
      <c r="G177" s="72">
        <f>IFERROR(__xludf.DUMMYFUNCTION("IF(COUNTIF(IMPORTRANGE(""https://docs.google.com/spreadsheets/d/1xytwrrnzAdDwj8WFj5u6b5L5uYRsNheZVC4UcGqUzKQ/edit"", ""'Full Time Load'!B:B""), ""*"" &amp; MID(A177, 2, FIND(""]"", A177) - 2) &amp; ""*"") &gt; 0, 1, 0)"),0.0)</f>
        <v>0</v>
      </c>
    </row>
    <row r="178" ht="15.75" customHeight="1">
      <c r="A178" s="69" t="str">
        <f>IFERROR(__xludf.DUMMYFUNCTION("""COMPUTED_VALUE"""),"[YAM] Md. Bin Yeamin")</f>
        <v>[YAM] Md. Bin Yeamin</v>
      </c>
      <c r="B178" s="70">
        <f t="shared" si="1"/>
        <v>0</v>
      </c>
      <c r="C178" s="74" t="str">
        <f>IFERROR(__xludf.DUMMYFUNCTION(" QUERY(IMPORTRANGE(""https://docs.google.com/spreadsheets/d/1xytwrrnzAdDwj8WFj5u6b5L5uYRsNheZVC4UcGqUzKQ/edit?gid=1891914664#gid=1891914664"", ""Faculty-wise All!A2:D""), ""SELECT Col4 WHERE Col1 = '"" &amp;A178 &amp;""'"")"),"#REF!")</f>
        <v>#REF!</v>
      </c>
      <c r="D178" s="15"/>
      <c r="E178" s="26" t="str">
        <f t="shared" si="2"/>
        <v>#REF!</v>
      </c>
      <c r="F178" s="32" t="str">
        <f t="shared" si="3"/>
        <v>#REF!</v>
      </c>
      <c r="G178" s="15">
        <f>IFERROR(__xludf.DUMMYFUNCTION("IF(COUNTIF(IMPORTRANGE(""https://docs.google.com/spreadsheets/d/1xytwrrnzAdDwj8WFj5u6b5L5uYRsNheZVC4UcGqUzKQ/edit"", ""'Full Time Load'!B:B""), ""*"" &amp; MID(A178, 2, FIND(""]"", A178) - 2) &amp; ""*"") &gt; 0, 1, 0)"),0.0)</f>
        <v>0</v>
      </c>
    </row>
    <row r="179" ht="15.75" customHeight="1">
      <c r="A179" s="69" t="str">
        <f>IFERROR(__xludf.DUMMYFUNCTION("""COMPUTED_VALUE"""),"[ZAHA] Ziyan Shirin Raha")</f>
        <v>[ZAHA] Ziyan Shirin Raha</v>
      </c>
      <c r="B179" s="70">
        <f t="shared" si="1"/>
        <v>0</v>
      </c>
      <c r="C179" s="75" t="str">
        <f>IFERROR(__xludf.DUMMYFUNCTION(" QUERY(IMPORTRANGE(""https://docs.google.com/spreadsheets/d/1xytwrrnzAdDwj8WFj5u6b5L5uYRsNheZVC4UcGqUzKQ/edit?gid=1891914664#gid=1891914664"", ""Faculty-wise All!A2:D""), ""SELECT Col4 WHERE Col1 = '"" &amp;A179 &amp;""'"")"),"#REF!")</f>
        <v>#REF!</v>
      </c>
      <c r="D179" s="64"/>
      <c r="E179" s="76" t="str">
        <f t="shared" si="2"/>
        <v>#REF!</v>
      </c>
      <c r="F179" s="65" t="str">
        <f t="shared" si="3"/>
        <v>#REF!</v>
      </c>
      <c r="G179" s="64">
        <f>IFERROR(__xludf.DUMMYFUNCTION("IF(COUNTIF(IMPORTRANGE(""https://docs.google.com/spreadsheets/d/1xytwrrnzAdDwj8WFj5u6b5L5uYRsNheZVC4UcGqUzKQ/edit"", ""'Full Time Load'!B:B""), ""*"" &amp; MID(A179, 2, FIND(""]"", A179) - 2) &amp; ""*"") &gt; 0, 1, 0)"),0.0)</f>
        <v>0</v>
      </c>
    </row>
    <row r="180" ht="15.75" customHeight="1">
      <c r="A180" s="77" t="s">
        <v>762</v>
      </c>
      <c r="B180" s="70">
        <f t="shared" si="1"/>
        <v>0</v>
      </c>
      <c r="C180" s="74"/>
      <c r="D180" s="15"/>
      <c r="E180" s="26">
        <v>4.0</v>
      </c>
      <c r="F180" s="65" t="str">
        <f t="shared" si="3"/>
        <v>&lt;</v>
      </c>
      <c r="G180" s="15">
        <f>IFERROR(__xludf.DUMMYFUNCTION("IF(COUNTIF(IMPORTRANGE(""https://docs.google.com/spreadsheets/d/1xytwrrnzAdDwj8WFj5u6b5L5uYRsNheZVC4UcGqUzKQ/edit"", ""'Full Time Load'!B:B""), ""*"" &amp; MID(A180, 2, FIND(""]"", A180) - 2) &amp; ""*"") &gt; 0, 1, 0)"),0.0)</f>
        <v>0</v>
      </c>
    </row>
    <row r="181" ht="15.75" customHeight="1">
      <c r="A181" s="77" t="s">
        <v>763</v>
      </c>
      <c r="B181" s="70">
        <f t="shared" si="1"/>
        <v>0</v>
      </c>
      <c r="C181" s="74"/>
      <c r="D181" s="15"/>
      <c r="E181" s="26">
        <v>9.0</v>
      </c>
      <c r="F181" s="65" t="str">
        <f t="shared" si="3"/>
        <v>&lt;</v>
      </c>
      <c r="G181" s="15">
        <f>IFERROR(__xludf.DUMMYFUNCTION("IF(COUNTIF(IMPORTRANGE(""https://docs.google.com/spreadsheets/d/1xytwrrnzAdDwj8WFj5u6b5L5uYRsNheZVC4UcGqUzKQ/edit"", ""'Full Time Load'!B:B""), ""*"" &amp; MID(A181, 2, FIND(""]"", A181) - 2) &amp; ""*"") &gt; 0, 1, 0)"),0.0)</f>
        <v>0</v>
      </c>
    </row>
    <row r="182" ht="15.75" customHeight="1">
      <c r="A182" s="77" t="s">
        <v>764</v>
      </c>
      <c r="B182" s="70">
        <f t="shared" si="1"/>
        <v>0</v>
      </c>
      <c r="C182" s="74"/>
      <c r="D182" s="15"/>
      <c r="E182" s="26">
        <v>5.0</v>
      </c>
      <c r="F182" s="65" t="str">
        <f t="shared" si="3"/>
        <v>&lt;</v>
      </c>
      <c r="G182" s="15">
        <f>IFERROR(__xludf.DUMMYFUNCTION("IF(COUNTIF(IMPORTRANGE(""https://docs.google.com/spreadsheets/d/1xytwrrnzAdDwj8WFj5u6b5L5uYRsNheZVC4UcGqUzKQ/edit"", ""'Full Time Load'!B:B""), ""*"" &amp; MID(A182, 2, FIND(""]"", A182) - 2) &amp; ""*"") &gt; 0, 1, 0)"),0.0)</f>
        <v>0</v>
      </c>
    </row>
    <row r="183" ht="15.75" customHeight="1">
      <c r="A183" s="77" t="s">
        <v>765</v>
      </c>
      <c r="B183" s="70">
        <f t="shared" si="1"/>
        <v>0</v>
      </c>
      <c r="C183" s="74"/>
      <c r="D183" s="15"/>
      <c r="E183" s="26">
        <v>10.0</v>
      </c>
      <c r="F183" s="65" t="str">
        <f t="shared" si="3"/>
        <v>&lt;</v>
      </c>
      <c r="G183" s="15">
        <f>IFERROR(__xludf.DUMMYFUNCTION("IF(COUNTIF(IMPORTRANGE(""https://docs.google.com/spreadsheets/d/1xytwrrnzAdDwj8WFj5u6b5L5uYRsNheZVC4UcGqUzKQ/edit"", ""'Full Time Load'!B:B""), ""*"" &amp; MID(A183, 2, FIND(""]"", A183) - 2) &amp; ""*"") &gt; 0, 1, 0)"),0.0)</f>
        <v>0</v>
      </c>
    </row>
    <row r="184" ht="15.75" customHeight="1">
      <c r="A184" s="77" t="s">
        <v>766</v>
      </c>
      <c r="B184" s="70">
        <f t="shared" si="1"/>
        <v>0</v>
      </c>
      <c r="C184" s="74"/>
      <c r="D184" s="15"/>
      <c r="E184" s="26">
        <v>10.0</v>
      </c>
      <c r="F184" s="65" t="str">
        <f t="shared" si="3"/>
        <v>&lt;</v>
      </c>
      <c r="G184" s="15">
        <f>IFERROR(__xludf.DUMMYFUNCTION("IF(COUNTIF(IMPORTRANGE(""https://docs.google.com/spreadsheets/d/1xytwrrnzAdDwj8WFj5u6b5L5uYRsNheZVC4UcGqUzKQ/edit"", ""'Full Time Load'!B:B""), ""*"" &amp; MID(A184, 2, FIND(""]"", A184) - 2) &amp; ""*"") &gt; 0, 1, 0)"),0.0)</f>
        <v>0</v>
      </c>
    </row>
    <row r="185" ht="15.75" customHeight="1">
      <c r="A185" s="77" t="s">
        <v>767</v>
      </c>
      <c r="B185" s="70">
        <f t="shared" si="1"/>
        <v>0</v>
      </c>
      <c r="C185" s="74"/>
      <c r="D185" s="15"/>
      <c r="E185" s="26">
        <v>8.0</v>
      </c>
      <c r="F185" s="65" t="str">
        <f t="shared" si="3"/>
        <v>&lt;</v>
      </c>
      <c r="G185" s="15">
        <f>IFERROR(__xludf.DUMMYFUNCTION("IF(COUNTIF(IMPORTRANGE(""https://docs.google.com/spreadsheets/d/1xytwrrnzAdDwj8WFj5u6b5L5uYRsNheZVC4UcGqUzKQ/edit"", ""'Full Time Load'!B:B""), ""*"" &amp; MID(A185, 2, FIND(""]"", A185) - 2) &amp; ""*"") &gt; 0, 1, 0)"),0.0)</f>
        <v>0</v>
      </c>
    </row>
    <row r="186" ht="15.75" customHeight="1">
      <c r="A186" s="77" t="s">
        <v>768</v>
      </c>
      <c r="B186" s="70">
        <f t="shared" si="1"/>
        <v>0</v>
      </c>
      <c r="C186" s="74"/>
      <c r="D186" s="15"/>
      <c r="E186" s="26">
        <v>9.0</v>
      </c>
      <c r="F186" s="65" t="str">
        <f t="shared" si="3"/>
        <v>&lt;</v>
      </c>
      <c r="G186" s="15">
        <f>IFERROR(__xludf.DUMMYFUNCTION("IF(COUNTIF(IMPORTRANGE(""https://docs.google.com/spreadsheets/d/1xytwrrnzAdDwj8WFj5u6b5L5uYRsNheZVC4UcGqUzKQ/edit"", ""'Full Time Load'!B:B""), ""*"" &amp; MID(A186, 2, FIND(""]"", A186) - 2) &amp; ""*"") &gt; 0, 1, 0)"),0.0)</f>
        <v>0</v>
      </c>
    </row>
    <row r="187" ht="15.75" customHeight="1">
      <c r="A187" s="77" t="s">
        <v>769</v>
      </c>
      <c r="B187" s="70">
        <f t="shared" si="1"/>
        <v>0</v>
      </c>
      <c r="C187" s="74"/>
      <c r="D187" s="15"/>
      <c r="E187" s="26">
        <v>10.0</v>
      </c>
      <c r="F187" s="65" t="str">
        <f t="shared" si="3"/>
        <v>&lt;</v>
      </c>
      <c r="G187" s="15">
        <f>IFERROR(__xludf.DUMMYFUNCTION("IF(COUNTIF(IMPORTRANGE(""https://docs.google.com/spreadsheets/d/1xytwrrnzAdDwj8WFj5u6b5L5uYRsNheZVC4UcGqUzKQ/edit"", ""'Full Time Load'!B:B""), ""*"" &amp; MID(A187, 2, FIND(""]"", A187) - 2) &amp; ""*"") &gt; 0, 1, 0)"),0.0)</f>
        <v>0</v>
      </c>
    </row>
    <row r="188" ht="15.75" customHeight="1">
      <c r="A188" s="77" t="s">
        <v>770</v>
      </c>
      <c r="B188" s="70">
        <f t="shared" si="1"/>
        <v>0</v>
      </c>
      <c r="C188" s="74"/>
      <c r="D188" s="15"/>
      <c r="E188" s="26">
        <v>9.0</v>
      </c>
      <c r="F188" s="65" t="str">
        <f t="shared" si="3"/>
        <v>&lt;</v>
      </c>
      <c r="G188" s="15">
        <f>IFERROR(__xludf.DUMMYFUNCTION("IF(COUNTIF(IMPORTRANGE(""https://docs.google.com/spreadsheets/d/1xytwrrnzAdDwj8WFj5u6b5L5uYRsNheZVC4UcGqUzKQ/edit"", ""'Full Time Load'!B:B""), ""*"" &amp; MID(A188, 2, FIND(""]"", A188) - 2) &amp; ""*"") &gt; 0, 1, 0)"),0.0)</f>
        <v>0</v>
      </c>
    </row>
    <row r="189" ht="15.75" customHeight="1">
      <c r="G189" s="43">
        <f>SUM(G2:G188)</f>
        <v>0</v>
      </c>
    </row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K2:K3"/>
    <mergeCell ref="K4:K5"/>
  </mergeCells>
  <conditionalFormatting sqref="A2:A179 B2:G188">
    <cfRule type="expression" dxfId="1" priority="1">
      <formula> AND($G2 = 1, $F2 = "&lt;")</formula>
    </cfRule>
  </conditionalFormatting>
  <conditionalFormatting sqref="A2:A179 B2:G188">
    <cfRule type="expression" dxfId="2" priority="2">
      <formula> AND($G2 = 1, $F2 = "==")</formula>
    </cfRule>
  </conditionalFormatting>
  <conditionalFormatting sqref="A2:A179 B2:G188">
    <cfRule type="expression" dxfId="3" priority="3">
      <formula> AND($G2 = 1, $F2 = "&gt;")</formula>
    </cfRule>
  </conditionalFormatting>
  <conditionalFormatting sqref="A2:A179 B2:G188">
    <cfRule type="expression" dxfId="4" priority="4">
      <formula> $F2 = "=="</formula>
    </cfRule>
  </conditionalFormatting>
  <conditionalFormatting sqref="A2:A179 B2:G188">
    <cfRule type="expression" dxfId="5" priority="5">
      <formula> $F2 = "&gt;"</formula>
    </cfRule>
  </conditionalFormatting>
  <conditionalFormatting sqref="A2:A179 B2:G188">
    <cfRule type="expression" dxfId="6" priority="6">
      <formula> $F2 = "&lt;"</formula>
    </cfRule>
  </conditionalFormatting>
  <printOptions/>
  <pageMargins bottom="0.75" footer="0.0" header="0.0" left="0.7" right="0.7" top="0.75"/>
  <pageSetup orientation="landscape"/>
  <drawing r:id="rId1"/>
</worksheet>
</file>